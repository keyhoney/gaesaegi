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ev\gaesaehi-htmlcssjs\"/>
    </mc:Choice>
  </mc:AlternateContent>
  <xr:revisionPtr revIDLastSave="0" documentId="13_ncr:1_{3841ACE7-9F4C-4675-B612-CA9DDDFA6A4E}" xr6:coauthVersionLast="47" xr6:coauthVersionMax="47" xr10:uidLastSave="{00000000-0000-0000-0000-000000000000}"/>
  <bookViews>
    <workbookView xWindow="-120" yWindow="-120" windowWidth="29040" windowHeight="15720" xr2:uid="{A4863E0A-2C56-4D25-BC25-41585132CE34}"/>
  </bookViews>
  <sheets>
    <sheet name="Sheet1" sheetId="1" r:id="rId1"/>
    <sheet name="작업" sheetId="5" r:id="rId2"/>
    <sheet name="해설주소" sheetId="7" r:id="rId3"/>
    <sheet name="Sheet3" sheetId="3" r:id="rId4"/>
    <sheet name="Sheet5" sheetId="6" r:id="rId5"/>
    <sheet name="Sheet4" sheetId="4" r:id="rId6"/>
    <sheet name="Sheet2" sheetId="2" r:id="rId7"/>
  </sheets>
  <functionGroups builtInGroupCount="19"/>
  <definedNames>
    <definedName name="_xlnm._FilterDatabase" localSheetId="1" hidden="1">작업!$A$1:$L$391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7" i="3" l="1"/>
  <c r="A48" i="3"/>
  <c r="A49" i="3"/>
  <c r="A50" i="3"/>
  <c r="A51" i="3"/>
  <c r="A52" i="3"/>
  <c r="A53" i="3"/>
  <c r="A54" i="3"/>
  <c r="A55" i="3"/>
  <c r="A56" i="3"/>
  <c r="A57" i="3"/>
  <c r="A58" i="3"/>
  <c r="A59" i="3"/>
  <c r="E288" i="1"/>
  <c r="G288" i="1"/>
  <c r="H288" i="1"/>
  <c r="I288" i="1"/>
  <c r="J288" i="1"/>
  <c r="E289" i="1"/>
  <c r="G289" i="1"/>
  <c r="H289" i="1"/>
  <c r="I289" i="1"/>
  <c r="J289" i="1"/>
  <c r="E290" i="1"/>
  <c r="G290" i="1"/>
  <c r="H290" i="1"/>
  <c r="I290" i="1"/>
  <c r="J290" i="1"/>
  <c r="E291" i="1"/>
  <c r="G291" i="1"/>
  <c r="H291" i="1"/>
  <c r="I291" i="1"/>
  <c r="J291" i="1"/>
  <c r="E292" i="1"/>
  <c r="G292" i="1"/>
  <c r="H292" i="1"/>
  <c r="I292" i="1"/>
  <c r="J292" i="1"/>
  <c r="E293" i="1"/>
  <c r="G293" i="1"/>
  <c r="H293" i="1"/>
  <c r="I293" i="1"/>
  <c r="J293" i="1"/>
  <c r="E294" i="1"/>
  <c r="G294" i="1"/>
  <c r="H294" i="1"/>
  <c r="I294" i="1"/>
  <c r="J294" i="1"/>
  <c r="E295" i="1"/>
  <c r="G295" i="1"/>
  <c r="H295" i="1"/>
  <c r="I295" i="1"/>
  <c r="J295" i="1"/>
  <c r="E296" i="1"/>
  <c r="G296" i="1"/>
  <c r="H296" i="1"/>
  <c r="I296" i="1"/>
  <c r="J296" i="1"/>
  <c r="E297" i="1"/>
  <c r="G297" i="1"/>
  <c r="H297" i="1"/>
  <c r="I297" i="1"/>
  <c r="J297" i="1"/>
  <c r="E298" i="1"/>
  <c r="G298" i="1"/>
  <c r="H298" i="1"/>
  <c r="I298" i="1"/>
  <c r="J298" i="1"/>
  <c r="E299" i="1"/>
  <c r="G299" i="1"/>
  <c r="H299" i="1"/>
  <c r="I299" i="1"/>
  <c r="J299" i="1"/>
  <c r="E300" i="1"/>
  <c r="G300" i="1"/>
  <c r="H300" i="1"/>
  <c r="I300" i="1"/>
  <c r="J300" i="1"/>
  <c r="E301" i="1"/>
  <c r="G301" i="1"/>
  <c r="H301" i="1"/>
  <c r="I301" i="1"/>
  <c r="J301" i="1"/>
  <c r="E302" i="1"/>
  <c r="G302" i="1"/>
  <c r="H302" i="1"/>
  <c r="I302" i="1"/>
  <c r="J302" i="1"/>
  <c r="E303" i="1"/>
  <c r="G303" i="1"/>
  <c r="H303" i="1"/>
  <c r="I303" i="1"/>
  <c r="J303" i="1"/>
  <c r="E304" i="1"/>
  <c r="G304" i="1"/>
  <c r="H304" i="1"/>
  <c r="I304" i="1"/>
  <c r="J304" i="1"/>
  <c r="E305" i="1"/>
  <c r="G305" i="1"/>
  <c r="H305" i="1"/>
  <c r="I305" i="1"/>
  <c r="J305" i="1"/>
  <c r="E306" i="1"/>
  <c r="G306" i="1"/>
  <c r="H306" i="1"/>
  <c r="I306" i="1"/>
  <c r="J306" i="1"/>
  <c r="E307" i="1"/>
  <c r="G307" i="1"/>
  <c r="H307" i="1"/>
  <c r="I307" i="1"/>
  <c r="J307" i="1"/>
  <c r="E308" i="1"/>
  <c r="G308" i="1"/>
  <c r="H308" i="1"/>
  <c r="I308" i="1"/>
  <c r="J308" i="1"/>
  <c r="E309" i="1"/>
  <c r="G309" i="1"/>
  <c r="H309" i="1"/>
  <c r="I309" i="1"/>
  <c r="J309" i="1"/>
  <c r="E310" i="1"/>
  <c r="G310" i="1"/>
  <c r="H310" i="1"/>
  <c r="I310" i="1"/>
  <c r="J310" i="1"/>
  <c r="E311" i="1"/>
  <c r="G311" i="1"/>
  <c r="H311" i="1"/>
  <c r="I311" i="1"/>
  <c r="J311" i="1"/>
  <c r="E312" i="1"/>
  <c r="G312" i="1"/>
  <c r="H312" i="1"/>
  <c r="I312" i="1"/>
  <c r="J312" i="1"/>
  <c r="E313" i="1"/>
  <c r="G313" i="1"/>
  <c r="H313" i="1"/>
  <c r="I313" i="1"/>
  <c r="J313" i="1"/>
  <c r="E314" i="1"/>
  <c r="G314" i="1"/>
  <c r="H314" i="1"/>
  <c r="I314" i="1"/>
  <c r="J314" i="1"/>
  <c r="E315" i="1"/>
  <c r="G315" i="1"/>
  <c r="H315" i="1"/>
  <c r="I315" i="1"/>
  <c r="J315" i="1"/>
  <c r="E316" i="1"/>
  <c r="G316" i="1"/>
  <c r="H316" i="1"/>
  <c r="I316" i="1"/>
  <c r="J316" i="1"/>
  <c r="E317" i="1"/>
  <c r="G317" i="1"/>
  <c r="H317" i="1"/>
  <c r="I317" i="1"/>
  <c r="J317" i="1"/>
  <c r="E318" i="1"/>
  <c r="G318" i="1"/>
  <c r="H318" i="1"/>
  <c r="I318" i="1"/>
  <c r="J318" i="1"/>
  <c r="E319" i="1"/>
  <c r="G319" i="1"/>
  <c r="H319" i="1"/>
  <c r="I319" i="1"/>
  <c r="J319" i="1"/>
  <c r="E320" i="1"/>
  <c r="G320" i="1"/>
  <c r="H320" i="1"/>
  <c r="I320" i="1"/>
  <c r="J320" i="1"/>
  <c r="E321" i="1"/>
  <c r="G321" i="1"/>
  <c r="H321" i="1"/>
  <c r="I321" i="1"/>
  <c r="J321" i="1"/>
  <c r="E322" i="1"/>
  <c r="G322" i="1"/>
  <c r="H322" i="1"/>
  <c r="I322" i="1"/>
  <c r="J322" i="1"/>
  <c r="E323" i="1"/>
  <c r="G323" i="1"/>
  <c r="H323" i="1"/>
  <c r="I323" i="1"/>
  <c r="J323" i="1"/>
  <c r="E324" i="1"/>
  <c r="G324" i="1"/>
  <c r="H324" i="1"/>
  <c r="I324" i="1"/>
  <c r="J324" i="1"/>
  <c r="E325" i="1"/>
  <c r="G325" i="1"/>
  <c r="H325" i="1"/>
  <c r="I325" i="1"/>
  <c r="J325" i="1"/>
  <c r="E326" i="1"/>
  <c r="G326" i="1"/>
  <c r="H326" i="1"/>
  <c r="I326" i="1"/>
  <c r="J326" i="1"/>
  <c r="E327" i="1"/>
  <c r="G327" i="1"/>
  <c r="H327" i="1"/>
  <c r="I327" i="1"/>
  <c r="J327" i="1"/>
  <c r="E328" i="1"/>
  <c r="G328" i="1"/>
  <c r="H328" i="1"/>
  <c r="I328" i="1"/>
  <c r="J328" i="1"/>
  <c r="E329" i="1"/>
  <c r="G329" i="1"/>
  <c r="H329" i="1"/>
  <c r="I329" i="1"/>
  <c r="J329" i="1"/>
  <c r="E330" i="1"/>
  <c r="G330" i="1"/>
  <c r="H330" i="1"/>
  <c r="I330" i="1"/>
  <c r="J330" i="1"/>
  <c r="E331" i="1"/>
  <c r="G331" i="1"/>
  <c r="H331" i="1"/>
  <c r="I331" i="1"/>
  <c r="J331" i="1"/>
  <c r="E332" i="1"/>
  <c r="G332" i="1"/>
  <c r="H332" i="1"/>
  <c r="I332" i="1"/>
  <c r="J332" i="1"/>
  <c r="E333" i="1"/>
  <c r="G333" i="1"/>
  <c r="H333" i="1"/>
  <c r="I333" i="1"/>
  <c r="J333" i="1"/>
  <c r="E334" i="1"/>
  <c r="G334" i="1"/>
  <c r="H334" i="1"/>
  <c r="I334" i="1"/>
  <c r="J334" i="1"/>
  <c r="E335" i="1"/>
  <c r="G335" i="1"/>
  <c r="H335" i="1"/>
  <c r="I335" i="1"/>
  <c r="J335" i="1"/>
  <c r="E336" i="1"/>
  <c r="G336" i="1"/>
  <c r="H336" i="1"/>
  <c r="I336" i="1"/>
  <c r="J336" i="1"/>
  <c r="E337" i="1"/>
  <c r="G337" i="1"/>
  <c r="H337" i="1"/>
  <c r="I337" i="1"/>
  <c r="J337" i="1"/>
  <c r="E338" i="1"/>
  <c r="G338" i="1"/>
  <c r="H338" i="1"/>
  <c r="I338" i="1"/>
  <c r="J338" i="1"/>
  <c r="E339" i="1"/>
  <c r="G339" i="1"/>
  <c r="H339" i="1"/>
  <c r="I339" i="1"/>
  <c r="J339" i="1"/>
  <c r="E340" i="1"/>
  <c r="G340" i="1"/>
  <c r="H340" i="1"/>
  <c r="I340" i="1"/>
  <c r="J340" i="1"/>
  <c r="E341" i="1"/>
  <c r="G341" i="1"/>
  <c r="H341" i="1"/>
  <c r="I341" i="1"/>
  <c r="J341" i="1"/>
  <c r="E342" i="1"/>
  <c r="G342" i="1"/>
  <c r="H342" i="1"/>
  <c r="I342" i="1"/>
  <c r="J342" i="1"/>
  <c r="E343" i="1"/>
  <c r="G343" i="1"/>
  <c r="H343" i="1"/>
  <c r="I343" i="1"/>
  <c r="J343" i="1"/>
  <c r="E344" i="1"/>
  <c r="G344" i="1"/>
  <c r="H344" i="1"/>
  <c r="I344" i="1"/>
  <c r="J344" i="1"/>
  <c r="E345" i="1"/>
  <c r="G345" i="1"/>
  <c r="H345" i="1"/>
  <c r="I345" i="1"/>
  <c r="J345" i="1"/>
  <c r="E346" i="1"/>
  <c r="G346" i="1"/>
  <c r="H346" i="1"/>
  <c r="I346" i="1"/>
  <c r="J346" i="1"/>
  <c r="E347" i="1"/>
  <c r="G347" i="1"/>
  <c r="H347" i="1"/>
  <c r="I347" i="1"/>
  <c r="J347" i="1"/>
  <c r="E348" i="1"/>
  <c r="G348" i="1"/>
  <c r="H348" i="1"/>
  <c r="I348" i="1"/>
  <c r="J348" i="1"/>
  <c r="E349" i="1"/>
  <c r="G349" i="1"/>
  <c r="H349" i="1"/>
  <c r="I349" i="1"/>
  <c r="J349" i="1"/>
  <c r="E350" i="1"/>
  <c r="G350" i="1"/>
  <c r="H350" i="1"/>
  <c r="I350" i="1"/>
  <c r="J350" i="1"/>
  <c r="E351" i="1"/>
  <c r="G351" i="1"/>
  <c r="H351" i="1"/>
  <c r="I351" i="1"/>
  <c r="J351" i="1"/>
  <c r="E352" i="1"/>
  <c r="G352" i="1"/>
  <c r="H352" i="1"/>
  <c r="I352" i="1"/>
  <c r="J352" i="1"/>
  <c r="E353" i="1"/>
  <c r="G353" i="1"/>
  <c r="H353" i="1"/>
  <c r="I353" i="1"/>
  <c r="J353" i="1"/>
  <c r="E354" i="1"/>
  <c r="G354" i="1"/>
  <c r="H354" i="1"/>
  <c r="I354" i="1"/>
  <c r="J354" i="1"/>
  <c r="E355" i="1"/>
  <c r="G355" i="1"/>
  <c r="H355" i="1"/>
  <c r="I355" i="1"/>
  <c r="J355" i="1"/>
  <c r="E356" i="1"/>
  <c r="G356" i="1"/>
  <c r="H356" i="1"/>
  <c r="I356" i="1"/>
  <c r="J356" i="1"/>
  <c r="E357" i="1"/>
  <c r="G357" i="1"/>
  <c r="H357" i="1"/>
  <c r="I357" i="1"/>
  <c r="J357" i="1"/>
  <c r="E358" i="1"/>
  <c r="G358" i="1"/>
  <c r="H358" i="1"/>
  <c r="I358" i="1"/>
  <c r="J358" i="1"/>
  <c r="E359" i="1"/>
  <c r="G359" i="1"/>
  <c r="H359" i="1"/>
  <c r="I359" i="1"/>
  <c r="J359" i="1"/>
  <c r="E360" i="1"/>
  <c r="G360" i="1"/>
  <c r="H360" i="1"/>
  <c r="I360" i="1"/>
  <c r="J360" i="1"/>
  <c r="E361" i="1"/>
  <c r="G361" i="1"/>
  <c r="H361" i="1"/>
  <c r="I361" i="1"/>
  <c r="J361" i="1"/>
  <c r="D65" i="7"/>
  <c r="E65" i="7" s="1"/>
  <c r="D64" i="7"/>
  <c r="E64" i="7" s="1"/>
  <c r="D63" i="7"/>
  <c r="E63" i="7" s="1"/>
  <c r="D62" i="7"/>
  <c r="E62" i="7" s="1"/>
  <c r="D61" i="7"/>
  <c r="E61" i="7" s="1"/>
  <c r="D60" i="7"/>
  <c r="E60" i="7" s="1"/>
  <c r="D59" i="7"/>
  <c r="E59" i="7" s="1"/>
  <c r="D58" i="7"/>
  <c r="E58" i="7" s="1"/>
  <c r="D11" i="7"/>
  <c r="E11" i="7" s="1"/>
  <c r="D12" i="7"/>
  <c r="E12" i="7" s="1"/>
  <c r="D13" i="7"/>
  <c r="E13" i="7" s="1"/>
  <c r="I24" i="5"/>
  <c r="I179" i="5"/>
  <c r="I25" i="5"/>
  <c r="I27" i="5"/>
  <c r="I180" i="5"/>
  <c r="I29" i="5"/>
  <c r="I30" i="5"/>
  <c r="I26" i="5"/>
  <c r="I271" i="5"/>
  <c r="I28" i="5"/>
  <c r="I56" i="5"/>
  <c r="I205" i="5"/>
  <c r="I358" i="5"/>
  <c r="I59" i="5"/>
  <c r="I266" i="5"/>
  <c r="I61" i="5"/>
  <c r="I84" i="5"/>
  <c r="I295" i="5"/>
  <c r="I86" i="5"/>
  <c r="I31" i="5"/>
  <c r="I328" i="5"/>
  <c r="I89" i="5"/>
  <c r="I240" i="5"/>
  <c r="I149" i="5"/>
  <c r="I114" i="5"/>
  <c r="I54" i="5"/>
  <c r="I150" i="5"/>
  <c r="I117" i="5"/>
  <c r="I118" i="5"/>
  <c r="I55" i="5"/>
  <c r="I120" i="5"/>
  <c r="I206" i="5"/>
  <c r="I144" i="5"/>
  <c r="I208" i="5"/>
  <c r="I300" i="5"/>
  <c r="I147" i="5"/>
  <c r="I267" i="5"/>
  <c r="I57" i="5"/>
  <c r="I356" i="5"/>
  <c r="I151" i="5"/>
  <c r="I174" i="5"/>
  <c r="I175" i="5"/>
  <c r="I58" i="5"/>
  <c r="I60" i="5"/>
  <c r="I329" i="5"/>
  <c r="I265" i="5"/>
  <c r="I211" i="5"/>
  <c r="I181" i="5"/>
  <c r="I204" i="5"/>
  <c r="I85" i="5"/>
  <c r="I87" i="5"/>
  <c r="I207" i="5"/>
  <c r="I234" i="5"/>
  <c r="I209" i="5"/>
  <c r="I210" i="5"/>
  <c r="I88" i="5"/>
  <c r="I297" i="5"/>
  <c r="I235" i="5"/>
  <c r="I90" i="5"/>
  <c r="I325" i="5"/>
  <c r="I91" i="5"/>
  <c r="I357" i="5"/>
  <c r="I176" i="5"/>
  <c r="I241" i="5"/>
  <c r="I264" i="5"/>
  <c r="I177" i="5"/>
  <c r="I115" i="5"/>
  <c r="I268" i="5"/>
  <c r="I330" i="5"/>
  <c r="I236" i="5"/>
  <c r="F357" i="1" s="1"/>
  <c r="I270" i="5"/>
  <c r="I326" i="5"/>
  <c r="I294" i="5"/>
  <c r="I116" i="5"/>
  <c r="I296" i="5"/>
  <c r="I119" i="5"/>
  <c r="I298" i="5"/>
  <c r="I237" i="5"/>
  <c r="I121" i="5"/>
  <c r="I301" i="5"/>
  <c r="I324" i="5"/>
  <c r="I178" i="5"/>
  <c r="I145" i="5"/>
  <c r="I360" i="5"/>
  <c r="I269" i="5"/>
  <c r="I238" i="5"/>
  <c r="I299" i="5"/>
  <c r="I331" i="5"/>
  <c r="I354" i="5"/>
  <c r="I239" i="5"/>
  <c r="I355" i="5"/>
  <c r="I146" i="5"/>
  <c r="I361" i="5"/>
  <c r="I359" i="5"/>
  <c r="I327" i="5"/>
  <c r="I148" i="5"/>
  <c r="I384" i="5"/>
  <c r="I385" i="5"/>
  <c r="I386" i="5"/>
  <c r="I387" i="5"/>
  <c r="I388" i="5"/>
  <c r="I389" i="5"/>
  <c r="I390" i="5"/>
  <c r="I391" i="5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L85" i="2"/>
  <c r="M85" i="2"/>
  <c r="L86" i="2"/>
  <c r="M86" i="2"/>
  <c r="L87" i="2"/>
  <c r="M87" i="2"/>
  <c r="L88" i="2"/>
  <c r="M88" i="2"/>
  <c r="L89" i="2"/>
  <c r="M89" i="2"/>
  <c r="L90" i="2"/>
  <c r="M90" i="2"/>
  <c r="L91" i="2"/>
  <c r="M91" i="2"/>
  <c r="L92" i="2"/>
  <c r="M92" i="2"/>
  <c r="L93" i="2"/>
  <c r="M93" i="2"/>
  <c r="L94" i="2"/>
  <c r="M94" i="2"/>
  <c r="L95" i="2"/>
  <c r="M95" i="2"/>
  <c r="L96" i="2"/>
  <c r="M96" i="2"/>
  <c r="L97" i="2"/>
  <c r="M97" i="2"/>
  <c r="L98" i="2"/>
  <c r="M98" i="2"/>
  <c r="L99" i="2"/>
  <c r="M99" i="2"/>
  <c r="L100" i="2"/>
  <c r="M100" i="2"/>
  <c r="L101" i="2"/>
  <c r="M101" i="2"/>
  <c r="L102" i="2"/>
  <c r="M102" i="2"/>
  <c r="L103" i="2"/>
  <c r="M103" i="2"/>
  <c r="L104" i="2"/>
  <c r="M104" i="2"/>
  <c r="L26" i="2"/>
  <c r="M26" i="2"/>
  <c r="L27" i="2"/>
  <c r="M27" i="2"/>
  <c r="L28" i="2"/>
  <c r="M28" i="2"/>
  <c r="L29" i="2"/>
  <c r="M29" i="2"/>
  <c r="L30" i="2"/>
  <c r="M30" i="2"/>
  <c r="L31" i="2"/>
  <c r="L55" i="2" s="1"/>
  <c r="M31" i="2"/>
  <c r="L32" i="2"/>
  <c r="M32" i="2"/>
  <c r="L33" i="2"/>
  <c r="M33" i="2"/>
  <c r="L34" i="2"/>
  <c r="M34" i="2"/>
  <c r="L35" i="2"/>
  <c r="M35" i="2"/>
  <c r="L36" i="2"/>
  <c r="M36" i="2"/>
  <c r="M60" i="2" s="1"/>
  <c r="L37" i="2"/>
  <c r="L61" i="2" s="1"/>
  <c r="M37" i="2"/>
  <c r="L38" i="2"/>
  <c r="M38" i="2"/>
  <c r="L39" i="2"/>
  <c r="M39" i="2"/>
  <c r="L40" i="2"/>
  <c r="M40" i="2"/>
  <c r="L41" i="2"/>
  <c r="M41" i="2"/>
  <c r="L42" i="2"/>
  <c r="M42" i="2"/>
  <c r="M66" i="2" s="1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M55" i="2"/>
  <c r="L56" i="2"/>
  <c r="M56" i="2"/>
  <c r="L57" i="2"/>
  <c r="M57" i="2"/>
  <c r="L58" i="2"/>
  <c r="M58" i="2"/>
  <c r="L59" i="2"/>
  <c r="M59" i="2"/>
  <c r="L60" i="2"/>
  <c r="M61" i="2"/>
  <c r="L62" i="2"/>
  <c r="M62" i="2"/>
  <c r="L63" i="2"/>
  <c r="M63" i="2"/>
  <c r="L64" i="2"/>
  <c r="M64" i="2"/>
  <c r="L65" i="2"/>
  <c r="M65" i="2"/>
  <c r="L66" i="2"/>
  <c r="M25" i="2"/>
  <c r="L25" i="2"/>
  <c r="B2" i="2"/>
  <c r="B3" i="2" s="1"/>
  <c r="B4" i="2" s="1"/>
  <c r="B5" i="2" s="1"/>
  <c r="B6" i="2" s="1"/>
  <c r="B7" i="2" s="1"/>
  <c r="B8" i="2" s="1"/>
  <c r="A3" i="2"/>
  <c r="A4" i="2"/>
  <c r="A5" i="2"/>
  <c r="A6" i="2"/>
  <c r="A7" i="2"/>
  <c r="A8" i="2" s="1"/>
  <c r="A2" i="2"/>
  <c r="A44" i="3"/>
  <c r="A45" i="3"/>
  <c r="A46" i="3"/>
  <c r="A43" i="3"/>
  <c r="E266" i="1"/>
  <c r="G266" i="1"/>
  <c r="H266" i="1"/>
  <c r="I266" i="1"/>
  <c r="J266" i="1"/>
  <c r="E267" i="1"/>
  <c r="G267" i="1"/>
  <c r="H267" i="1"/>
  <c r="I267" i="1"/>
  <c r="J267" i="1"/>
  <c r="E268" i="1"/>
  <c r="G268" i="1"/>
  <c r="H268" i="1"/>
  <c r="I268" i="1"/>
  <c r="J268" i="1"/>
  <c r="E269" i="1"/>
  <c r="G269" i="1"/>
  <c r="H269" i="1"/>
  <c r="I269" i="1"/>
  <c r="J269" i="1"/>
  <c r="E270" i="1"/>
  <c r="G270" i="1"/>
  <c r="H270" i="1"/>
  <c r="I270" i="1"/>
  <c r="J270" i="1"/>
  <c r="E271" i="1"/>
  <c r="G271" i="1"/>
  <c r="H271" i="1"/>
  <c r="I271" i="1"/>
  <c r="J271" i="1"/>
  <c r="E272" i="1"/>
  <c r="G272" i="1"/>
  <c r="H272" i="1"/>
  <c r="I272" i="1"/>
  <c r="J272" i="1"/>
  <c r="E273" i="1"/>
  <c r="G273" i="1"/>
  <c r="H273" i="1"/>
  <c r="I273" i="1"/>
  <c r="J273" i="1"/>
  <c r="E274" i="1"/>
  <c r="G274" i="1"/>
  <c r="H274" i="1"/>
  <c r="I274" i="1"/>
  <c r="J274" i="1"/>
  <c r="E275" i="1"/>
  <c r="G275" i="1"/>
  <c r="H275" i="1"/>
  <c r="I275" i="1"/>
  <c r="J275" i="1"/>
  <c r="E276" i="1"/>
  <c r="G276" i="1"/>
  <c r="H276" i="1"/>
  <c r="I276" i="1"/>
  <c r="J276" i="1"/>
  <c r="E277" i="1"/>
  <c r="G277" i="1"/>
  <c r="H277" i="1"/>
  <c r="I277" i="1"/>
  <c r="J277" i="1"/>
  <c r="E278" i="1"/>
  <c r="G278" i="1"/>
  <c r="H278" i="1"/>
  <c r="I278" i="1"/>
  <c r="J278" i="1"/>
  <c r="E279" i="1"/>
  <c r="G279" i="1"/>
  <c r="H279" i="1"/>
  <c r="I279" i="1"/>
  <c r="J279" i="1"/>
  <c r="E280" i="1"/>
  <c r="G280" i="1"/>
  <c r="H280" i="1"/>
  <c r="I280" i="1"/>
  <c r="J280" i="1"/>
  <c r="E281" i="1"/>
  <c r="G281" i="1"/>
  <c r="H281" i="1"/>
  <c r="I281" i="1"/>
  <c r="J281" i="1"/>
  <c r="E282" i="1"/>
  <c r="G282" i="1"/>
  <c r="H282" i="1"/>
  <c r="I282" i="1"/>
  <c r="J282" i="1"/>
  <c r="E283" i="1"/>
  <c r="G283" i="1"/>
  <c r="H283" i="1"/>
  <c r="I283" i="1"/>
  <c r="J283" i="1"/>
  <c r="E284" i="1"/>
  <c r="G284" i="1"/>
  <c r="H284" i="1"/>
  <c r="I284" i="1"/>
  <c r="J284" i="1"/>
  <c r="E285" i="1"/>
  <c r="G285" i="1"/>
  <c r="H285" i="1"/>
  <c r="I285" i="1"/>
  <c r="J285" i="1"/>
  <c r="E286" i="1"/>
  <c r="G286" i="1"/>
  <c r="H286" i="1"/>
  <c r="I286" i="1"/>
  <c r="J286" i="1"/>
  <c r="E287" i="1"/>
  <c r="G287" i="1"/>
  <c r="H287" i="1"/>
  <c r="I287" i="1"/>
  <c r="J287" i="1"/>
  <c r="I362" i="5"/>
  <c r="G3" i="1"/>
  <c r="H3" i="1"/>
  <c r="I3" i="1"/>
  <c r="J3" i="1"/>
  <c r="G4" i="1"/>
  <c r="H4" i="1"/>
  <c r="I4" i="1"/>
  <c r="J4" i="1"/>
  <c r="G5" i="1"/>
  <c r="H5" i="1"/>
  <c r="I5" i="1"/>
  <c r="J5" i="1"/>
  <c r="G6" i="1"/>
  <c r="H6" i="1"/>
  <c r="I6" i="1"/>
  <c r="J6" i="1"/>
  <c r="G7" i="1"/>
  <c r="H7" i="1"/>
  <c r="I7" i="1"/>
  <c r="J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G20" i="1"/>
  <c r="H20" i="1"/>
  <c r="I20" i="1"/>
  <c r="J20" i="1"/>
  <c r="G21" i="1"/>
  <c r="H21" i="1"/>
  <c r="I21" i="1"/>
  <c r="J21" i="1"/>
  <c r="G22" i="1"/>
  <c r="H22" i="1"/>
  <c r="I22" i="1"/>
  <c r="J22" i="1"/>
  <c r="E23" i="1"/>
  <c r="G23" i="1"/>
  <c r="H23" i="1"/>
  <c r="I23" i="1"/>
  <c r="J23" i="1"/>
  <c r="E24" i="1"/>
  <c r="G24" i="1"/>
  <c r="H24" i="1"/>
  <c r="I24" i="1"/>
  <c r="J24" i="1"/>
  <c r="E25" i="1"/>
  <c r="G25" i="1"/>
  <c r="H25" i="1"/>
  <c r="I25" i="1"/>
  <c r="J25" i="1"/>
  <c r="E26" i="1"/>
  <c r="G26" i="1"/>
  <c r="H26" i="1"/>
  <c r="I26" i="1"/>
  <c r="J26" i="1"/>
  <c r="E27" i="1"/>
  <c r="G27" i="1"/>
  <c r="H27" i="1"/>
  <c r="I27" i="1"/>
  <c r="J27" i="1"/>
  <c r="E28" i="1"/>
  <c r="G28" i="1"/>
  <c r="H28" i="1"/>
  <c r="I28" i="1"/>
  <c r="J28" i="1"/>
  <c r="E29" i="1"/>
  <c r="G29" i="1"/>
  <c r="H29" i="1"/>
  <c r="I29" i="1"/>
  <c r="J29" i="1"/>
  <c r="E30" i="1"/>
  <c r="G30" i="1"/>
  <c r="H30" i="1"/>
  <c r="I30" i="1"/>
  <c r="J30" i="1"/>
  <c r="E31" i="1"/>
  <c r="G31" i="1"/>
  <c r="H31" i="1"/>
  <c r="I31" i="1"/>
  <c r="J31" i="1"/>
  <c r="E32" i="1"/>
  <c r="G32" i="1"/>
  <c r="H32" i="1"/>
  <c r="I32" i="1"/>
  <c r="J32" i="1"/>
  <c r="E33" i="1"/>
  <c r="G33" i="1"/>
  <c r="H33" i="1"/>
  <c r="I33" i="1"/>
  <c r="J33" i="1"/>
  <c r="E34" i="1"/>
  <c r="G34" i="1"/>
  <c r="H34" i="1"/>
  <c r="I34" i="1"/>
  <c r="J34" i="1"/>
  <c r="E35" i="1"/>
  <c r="G35" i="1"/>
  <c r="H35" i="1"/>
  <c r="I35" i="1"/>
  <c r="J35" i="1"/>
  <c r="E36" i="1"/>
  <c r="G36" i="1"/>
  <c r="H36" i="1"/>
  <c r="I36" i="1"/>
  <c r="J36" i="1"/>
  <c r="E37" i="1"/>
  <c r="G37" i="1"/>
  <c r="H37" i="1"/>
  <c r="I37" i="1"/>
  <c r="J37" i="1"/>
  <c r="E38" i="1"/>
  <c r="G38" i="1"/>
  <c r="H38" i="1"/>
  <c r="I38" i="1"/>
  <c r="J38" i="1"/>
  <c r="E39" i="1"/>
  <c r="G39" i="1"/>
  <c r="H39" i="1"/>
  <c r="I39" i="1"/>
  <c r="J39" i="1"/>
  <c r="E40" i="1"/>
  <c r="G40" i="1"/>
  <c r="H40" i="1"/>
  <c r="I40" i="1"/>
  <c r="J40" i="1"/>
  <c r="E41" i="1"/>
  <c r="G41" i="1"/>
  <c r="H41" i="1"/>
  <c r="I41" i="1"/>
  <c r="J41" i="1"/>
  <c r="E42" i="1"/>
  <c r="G42" i="1"/>
  <c r="H42" i="1"/>
  <c r="I42" i="1"/>
  <c r="J42" i="1"/>
  <c r="E43" i="1"/>
  <c r="G43" i="1"/>
  <c r="H43" i="1"/>
  <c r="I43" i="1"/>
  <c r="J43" i="1"/>
  <c r="E44" i="1"/>
  <c r="G44" i="1"/>
  <c r="H44" i="1"/>
  <c r="I44" i="1"/>
  <c r="J44" i="1"/>
  <c r="E45" i="1"/>
  <c r="G45" i="1"/>
  <c r="H45" i="1"/>
  <c r="I45" i="1"/>
  <c r="J45" i="1"/>
  <c r="E46" i="1"/>
  <c r="G46" i="1"/>
  <c r="H46" i="1"/>
  <c r="I46" i="1"/>
  <c r="J46" i="1"/>
  <c r="E47" i="1"/>
  <c r="G47" i="1"/>
  <c r="H47" i="1"/>
  <c r="I47" i="1"/>
  <c r="J47" i="1"/>
  <c r="E48" i="1"/>
  <c r="G48" i="1"/>
  <c r="H48" i="1"/>
  <c r="I48" i="1"/>
  <c r="J48" i="1"/>
  <c r="E49" i="1"/>
  <c r="G49" i="1"/>
  <c r="H49" i="1"/>
  <c r="I49" i="1"/>
  <c r="J49" i="1"/>
  <c r="E50" i="1"/>
  <c r="G50" i="1"/>
  <c r="H50" i="1"/>
  <c r="I50" i="1"/>
  <c r="J50" i="1"/>
  <c r="E51" i="1"/>
  <c r="G51" i="1"/>
  <c r="H51" i="1"/>
  <c r="I51" i="1"/>
  <c r="J51" i="1"/>
  <c r="E52" i="1"/>
  <c r="G52" i="1"/>
  <c r="H52" i="1"/>
  <c r="I52" i="1"/>
  <c r="J52" i="1"/>
  <c r="E53" i="1"/>
  <c r="G53" i="1"/>
  <c r="H53" i="1"/>
  <c r="I53" i="1"/>
  <c r="J53" i="1"/>
  <c r="E54" i="1"/>
  <c r="G54" i="1"/>
  <c r="H54" i="1"/>
  <c r="I54" i="1"/>
  <c r="J54" i="1"/>
  <c r="E55" i="1"/>
  <c r="G55" i="1"/>
  <c r="H55" i="1"/>
  <c r="I55" i="1"/>
  <c r="J55" i="1"/>
  <c r="E56" i="1"/>
  <c r="G56" i="1"/>
  <c r="H56" i="1"/>
  <c r="I56" i="1"/>
  <c r="J56" i="1"/>
  <c r="E57" i="1"/>
  <c r="G57" i="1"/>
  <c r="H57" i="1"/>
  <c r="I57" i="1"/>
  <c r="J57" i="1"/>
  <c r="E58" i="1"/>
  <c r="G58" i="1"/>
  <c r="H58" i="1"/>
  <c r="I58" i="1"/>
  <c r="J58" i="1"/>
  <c r="E59" i="1"/>
  <c r="G59" i="1"/>
  <c r="H59" i="1"/>
  <c r="I59" i="1"/>
  <c r="J59" i="1"/>
  <c r="E60" i="1"/>
  <c r="G60" i="1"/>
  <c r="H60" i="1"/>
  <c r="I60" i="1"/>
  <c r="J60" i="1"/>
  <c r="E61" i="1"/>
  <c r="G61" i="1"/>
  <c r="H61" i="1"/>
  <c r="I61" i="1"/>
  <c r="J61" i="1"/>
  <c r="E62" i="1"/>
  <c r="G62" i="1"/>
  <c r="H62" i="1"/>
  <c r="I62" i="1"/>
  <c r="J62" i="1"/>
  <c r="E63" i="1"/>
  <c r="G63" i="1"/>
  <c r="H63" i="1"/>
  <c r="I63" i="1"/>
  <c r="J63" i="1"/>
  <c r="E64" i="1"/>
  <c r="G64" i="1"/>
  <c r="H64" i="1"/>
  <c r="I64" i="1"/>
  <c r="J64" i="1"/>
  <c r="E65" i="1"/>
  <c r="G65" i="1"/>
  <c r="H65" i="1"/>
  <c r="I65" i="1"/>
  <c r="J65" i="1"/>
  <c r="E66" i="1"/>
  <c r="G66" i="1"/>
  <c r="H66" i="1"/>
  <c r="I66" i="1"/>
  <c r="J66" i="1"/>
  <c r="E67" i="1"/>
  <c r="G67" i="1"/>
  <c r="H67" i="1"/>
  <c r="I67" i="1"/>
  <c r="J67" i="1"/>
  <c r="E68" i="1"/>
  <c r="G68" i="1"/>
  <c r="H68" i="1"/>
  <c r="I68" i="1"/>
  <c r="J68" i="1"/>
  <c r="E69" i="1"/>
  <c r="G69" i="1"/>
  <c r="H69" i="1"/>
  <c r="I69" i="1"/>
  <c r="J69" i="1"/>
  <c r="E70" i="1"/>
  <c r="G70" i="1"/>
  <c r="H70" i="1"/>
  <c r="I70" i="1"/>
  <c r="J70" i="1"/>
  <c r="E71" i="1"/>
  <c r="G71" i="1"/>
  <c r="H71" i="1"/>
  <c r="I71" i="1"/>
  <c r="J71" i="1"/>
  <c r="E72" i="1"/>
  <c r="G72" i="1"/>
  <c r="H72" i="1"/>
  <c r="I72" i="1"/>
  <c r="J72" i="1"/>
  <c r="E73" i="1"/>
  <c r="G73" i="1"/>
  <c r="H73" i="1"/>
  <c r="I73" i="1"/>
  <c r="J73" i="1"/>
  <c r="E74" i="1"/>
  <c r="G74" i="1"/>
  <c r="H74" i="1"/>
  <c r="I74" i="1"/>
  <c r="J74" i="1"/>
  <c r="E75" i="1"/>
  <c r="G75" i="1"/>
  <c r="H75" i="1"/>
  <c r="I75" i="1"/>
  <c r="J75" i="1"/>
  <c r="E76" i="1"/>
  <c r="G76" i="1"/>
  <c r="H76" i="1"/>
  <c r="I76" i="1"/>
  <c r="J76" i="1"/>
  <c r="E77" i="1"/>
  <c r="G77" i="1"/>
  <c r="H77" i="1"/>
  <c r="I77" i="1"/>
  <c r="J77" i="1"/>
  <c r="E78" i="1"/>
  <c r="G78" i="1"/>
  <c r="H78" i="1"/>
  <c r="I78" i="1"/>
  <c r="J78" i="1"/>
  <c r="E79" i="1"/>
  <c r="G79" i="1"/>
  <c r="H79" i="1"/>
  <c r="I79" i="1"/>
  <c r="J79" i="1"/>
  <c r="E80" i="1"/>
  <c r="G80" i="1"/>
  <c r="H80" i="1"/>
  <c r="I80" i="1"/>
  <c r="J80" i="1"/>
  <c r="E81" i="1"/>
  <c r="G81" i="1"/>
  <c r="H81" i="1"/>
  <c r="I81" i="1"/>
  <c r="J81" i="1"/>
  <c r="E82" i="1"/>
  <c r="G82" i="1"/>
  <c r="H82" i="1"/>
  <c r="I82" i="1"/>
  <c r="J82" i="1"/>
  <c r="E83" i="1"/>
  <c r="G83" i="1"/>
  <c r="H83" i="1"/>
  <c r="I83" i="1"/>
  <c r="J83" i="1"/>
  <c r="E84" i="1"/>
  <c r="G84" i="1"/>
  <c r="H84" i="1"/>
  <c r="I84" i="1"/>
  <c r="J84" i="1"/>
  <c r="E85" i="1"/>
  <c r="G85" i="1"/>
  <c r="H85" i="1"/>
  <c r="I85" i="1"/>
  <c r="J85" i="1"/>
  <c r="E86" i="1"/>
  <c r="G86" i="1"/>
  <c r="H86" i="1"/>
  <c r="I86" i="1"/>
  <c r="J86" i="1"/>
  <c r="E87" i="1"/>
  <c r="G87" i="1"/>
  <c r="H87" i="1"/>
  <c r="I87" i="1"/>
  <c r="J87" i="1"/>
  <c r="E88" i="1"/>
  <c r="G88" i="1"/>
  <c r="H88" i="1"/>
  <c r="I88" i="1"/>
  <c r="J88" i="1"/>
  <c r="E89" i="1"/>
  <c r="G89" i="1"/>
  <c r="H89" i="1"/>
  <c r="I89" i="1"/>
  <c r="J89" i="1"/>
  <c r="E90" i="1"/>
  <c r="G90" i="1"/>
  <c r="H90" i="1"/>
  <c r="I90" i="1"/>
  <c r="J90" i="1"/>
  <c r="E91" i="1"/>
  <c r="G91" i="1"/>
  <c r="H91" i="1"/>
  <c r="I91" i="1"/>
  <c r="J91" i="1"/>
  <c r="E92" i="1"/>
  <c r="G92" i="1"/>
  <c r="H92" i="1"/>
  <c r="I92" i="1"/>
  <c r="J92" i="1"/>
  <c r="E93" i="1"/>
  <c r="G93" i="1"/>
  <c r="H93" i="1"/>
  <c r="I93" i="1"/>
  <c r="J93" i="1"/>
  <c r="E94" i="1"/>
  <c r="G94" i="1"/>
  <c r="H94" i="1"/>
  <c r="I94" i="1"/>
  <c r="J94" i="1"/>
  <c r="E95" i="1"/>
  <c r="G95" i="1"/>
  <c r="H95" i="1"/>
  <c r="I95" i="1"/>
  <c r="J95" i="1"/>
  <c r="E96" i="1"/>
  <c r="G96" i="1"/>
  <c r="H96" i="1"/>
  <c r="I96" i="1"/>
  <c r="J96" i="1"/>
  <c r="E97" i="1"/>
  <c r="G97" i="1"/>
  <c r="H97" i="1"/>
  <c r="I97" i="1"/>
  <c r="J97" i="1"/>
  <c r="E98" i="1"/>
  <c r="G98" i="1"/>
  <c r="H98" i="1"/>
  <c r="I98" i="1"/>
  <c r="J98" i="1"/>
  <c r="E99" i="1"/>
  <c r="G99" i="1"/>
  <c r="H99" i="1"/>
  <c r="I99" i="1"/>
  <c r="J99" i="1"/>
  <c r="E100" i="1"/>
  <c r="G100" i="1"/>
  <c r="H100" i="1"/>
  <c r="I100" i="1"/>
  <c r="J100" i="1"/>
  <c r="E101" i="1"/>
  <c r="G101" i="1"/>
  <c r="H101" i="1"/>
  <c r="I101" i="1"/>
  <c r="J101" i="1"/>
  <c r="E102" i="1"/>
  <c r="G102" i="1"/>
  <c r="H102" i="1"/>
  <c r="I102" i="1"/>
  <c r="J102" i="1"/>
  <c r="E103" i="1"/>
  <c r="G103" i="1"/>
  <c r="H103" i="1"/>
  <c r="I103" i="1"/>
  <c r="J103" i="1"/>
  <c r="E104" i="1"/>
  <c r="G104" i="1"/>
  <c r="H104" i="1"/>
  <c r="I104" i="1"/>
  <c r="J104" i="1"/>
  <c r="E105" i="1"/>
  <c r="G105" i="1"/>
  <c r="H105" i="1"/>
  <c r="I105" i="1"/>
  <c r="J105" i="1"/>
  <c r="E106" i="1"/>
  <c r="G106" i="1"/>
  <c r="H106" i="1"/>
  <c r="I106" i="1"/>
  <c r="J106" i="1"/>
  <c r="E107" i="1"/>
  <c r="G107" i="1"/>
  <c r="H107" i="1"/>
  <c r="I107" i="1"/>
  <c r="J107" i="1"/>
  <c r="E108" i="1"/>
  <c r="G108" i="1"/>
  <c r="H108" i="1"/>
  <c r="I108" i="1"/>
  <c r="J108" i="1"/>
  <c r="E109" i="1"/>
  <c r="G109" i="1"/>
  <c r="H109" i="1"/>
  <c r="I109" i="1"/>
  <c r="J109" i="1"/>
  <c r="E110" i="1"/>
  <c r="G110" i="1"/>
  <c r="H110" i="1"/>
  <c r="I110" i="1"/>
  <c r="J110" i="1"/>
  <c r="E111" i="1"/>
  <c r="G111" i="1"/>
  <c r="H111" i="1"/>
  <c r="I111" i="1"/>
  <c r="J111" i="1"/>
  <c r="E112" i="1"/>
  <c r="G112" i="1"/>
  <c r="H112" i="1"/>
  <c r="I112" i="1"/>
  <c r="J112" i="1"/>
  <c r="E113" i="1"/>
  <c r="G113" i="1"/>
  <c r="H113" i="1"/>
  <c r="I113" i="1"/>
  <c r="J113" i="1"/>
  <c r="E114" i="1"/>
  <c r="G114" i="1"/>
  <c r="H114" i="1"/>
  <c r="I114" i="1"/>
  <c r="J114" i="1"/>
  <c r="E115" i="1"/>
  <c r="G115" i="1"/>
  <c r="H115" i="1"/>
  <c r="I115" i="1"/>
  <c r="J115" i="1"/>
  <c r="E116" i="1"/>
  <c r="G116" i="1"/>
  <c r="H116" i="1"/>
  <c r="I116" i="1"/>
  <c r="J116" i="1"/>
  <c r="E117" i="1"/>
  <c r="G117" i="1"/>
  <c r="H117" i="1"/>
  <c r="I117" i="1"/>
  <c r="J117" i="1"/>
  <c r="E118" i="1"/>
  <c r="G118" i="1"/>
  <c r="H118" i="1"/>
  <c r="I118" i="1"/>
  <c r="J118" i="1"/>
  <c r="E119" i="1"/>
  <c r="G119" i="1"/>
  <c r="H119" i="1"/>
  <c r="I119" i="1"/>
  <c r="J119" i="1"/>
  <c r="E120" i="1"/>
  <c r="G120" i="1"/>
  <c r="H120" i="1"/>
  <c r="I120" i="1"/>
  <c r="J120" i="1"/>
  <c r="E121" i="1"/>
  <c r="G121" i="1"/>
  <c r="H121" i="1"/>
  <c r="I121" i="1"/>
  <c r="J121" i="1"/>
  <c r="E122" i="1"/>
  <c r="G122" i="1"/>
  <c r="H122" i="1"/>
  <c r="I122" i="1"/>
  <c r="J122" i="1"/>
  <c r="E123" i="1"/>
  <c r="G123" i="1"/>
  <c r="H123" i="1"/>
  <c r="I123" i="1"/>
  <c r="J123" i="1"/>
  <c r="E124" i="1"/>
  <c r="G124" i="1"/>
  <c r="H124" i="1"/>
  <c r="I124" i="1"/>
  <c r="J124" i="1"/>
  <c r="E125" i="1"/>
  <c r="G125" i="1"/>
  <c r="H125" i="1"/>
  <c r="I125" i="1"/>
  <c r="J125" i="1"/>
  <c r="E126" i="1"/>
  <c r="G126" i="1"/>
  <c r="H126" i="1"/>
  <c r="I126" i="1"/>
  <c r="J126" i="1"/>
  <c r="E127" i="1"/>
  <c r="G127" i="1"/>
  <c r="H127" i="1"/>
  <c r="I127" i="1"/>
  <c r="J127" i="1"/>
  <c r="E128" i="1"/>
  <c r="G128" i="1"/>
  <c r="H128" i="1"/>
  <c r="I128" i="1"/>
  <c r="J128" i="1"/>
  <c r="E129" i="1"/>
  <c r="G129" i="1"/>
  <c r="H129" i="1"/>
  <c r="I129" i="1"/>
  <c r="J129" i="1"/>
  <c r="E130" i="1"/>
  <c r="G130" i="1"/>
  <c r="H130" i="1"/>
  <c r="I130" i="1"/>
  <c r="J130" i="1"/>
  <c r="E131" i="1"/>
  <c r="G131" i="1"/>
  <c r="H131" i="1"/>
  <c r="I131" i="1"/>
  <c r="J131" i="1"/>
  <c r="E132" i="1"/>
  <c r="G132" i="1"/>
  <c r="H132" i="1"/>
  <c r="I132" i="1"/>
  <c r="J132" i="1"/>
  <c r="E133" i="1"/>
  <c r="G133" i="1"/>
  <c r="H133" i="1"/>
  <c r="I133" i="1"/>
  <c r="J133" i="1"/>
  <c r="E134" i="1"/>
  <c r="G134" i="1"/>
  <c r="H134" i="1"/>
  <c r="I134" i="1"/>
  <c r="J134" i="1"/>
  <c r="E135" i="1"/>
  <c r="G135" i="1"/>
  <c r="H135" i="1"/>
  <c r="I135" i="1"/>
  <c r="J135" i="1"/>
  <c r="E136" i="1"/>
  <c r="G136" i="1"/>
  <c r="H136" i="1"/>
  <c r="I136" i="1"/>
  <c r="J136" i="1"/>
  <c r="E137" i="1"/>
  <c r="G137" i="1"/>
  <c r="H137" i="1"/>
  <c r="I137" i="1"/>
  <c r="J137" i="1"/>
  <c r="E138" i="1"/>
  <c r="G138" i="1"/>
  <c r="H138" i="1"/>
  <c r="I138" i="1"/>
  <c r="J138" i="1"/>
  <c r="E139" i="1"/>
  <c r="G139" i="1"/>
  <c r="H139" i="1"/>
  <c r="I139" i="1"/>
  <c r="J139" i="1"/>
  <c r="E140" i="1"/>
  <c r="G140" i="1"/>
  <c r="H140" i="1"/>
  <c r="I140" i="1"/>
  <c r="J140" i="1"/>
  <c r="E141" i="1"/>
  <c r="G141" i="1"/>
  <c r="H141" i="1"/>
  <c r="I141" i="1"/>
  <c r="J141" i="1"/>
  <c r="E142" i="1"/>
  <c r="G142" i="1"/>
  <c r="H142" i="1"/>
  <c r="I142" i="1"/>
  <c r="J142" i="1"/>
  <c r="E143" i="1"/>
  <c r="G143" i="1"/>
  <c r="H143" i="1"/>
  <c r="I143" i="1"/>
  <c r="J143" i="1"/>
  <c r="E144" i="1"/>
  <c r="G144" i="1"/>
  <c r="H144" i="1"/>
  <c r="I144" i="1"/>
  <c r="J144" i="1"/>
  <c r="E145" i="1"/>
  <c r="G145" i="1"/>
  <c r="H145" i="1"/>
  <c r="I145" i="1"/>
  <c r="J145" i="1"/>
  <c r="E146" i="1"/>
  <c r="G146" i="1"/>
  <c r="H146" i="1"/>
  <c r="I146" i="1"/>
  <c r="J146" i="1"/>
  <c r="E147" i="1"/>
  <c r="G147" i="1"/>
  <c r="H147" i="1"/>
  <c r="I147" i="1"/>
  <c r="J147" i="1"/>
  <c r="E148" i="1"/>
  <c r="G148" i="1"/>
  <c r="H148" i="1"/>
  <c r="I148" i="1"/>
  <c r="J148" i="1"/>
  <c r="E149" i="1"/>
  <c r="G149" i="1"/>
  <c r="H149" i="1"/>
  <c r="I149" i="1"/>
  <c r="J149" i="1"/>
  <c r="E150" i="1"/>
  <c r="G150" i="1"/>
  <c r="H150" i="1"/>
  <c r="I150" i="1"/>
  <c r="J150" i="1"/>
  <c r="E151" i="1"/>
  <c r="G151" i="1"/>
  <c r="H151" i="1"/>
  <c r="I151" i="1"/>
  <c r="J151" i="1"/>
  <c r="E152" i="1"/>
  <c r="G152" i="1"/>
  <c r="H152" i="1"/>
  <c r="I152" i="1"/>
  <c r="J152" i="1"/>
  <c r="E153" i="1"/>
  <c r="G153" i="1"/>
  <c r="H153" i="1"/>
  <c r="I153" i="1"/>
  <c r="J153" i="1"/>
  <c r="E154" i="1"/>
  <c r="G154" i="1"/>
  <c r="H154" i="1"/>
  <c r="I154" i="1"/>
  <c r="J154" i="1"/>
  <c r="E155" i="1"/>
  <c r="G155" i="1"/>
  <c r="H155" i="1"/>
  <c r="I155" i="1"/>
  <c r="J155" i="1"/>
  <c r="E156" i="1"/>
  <c r="G156" i="1"/>
  <c r="H156" i="1"/>
  <c r="I156" i="1"/>
  <c r="J156" i="1"/>
  <c r="E157" i="1"/>
  <c r="G157" i="1"/>
  <c r="H157" i="1"/>
  <c r="I157" i="1"/>
  <c r="J157" i="1"/>
  <c r="E158" i="1"/>
  <c r="G158" i="1"/>
  <c r="H158" i="1"/>
  <c r="I158" i="1"/>
  <c r="J158" i="1"/>
  <c r="E159" i="1"/>
  <c r="G159" i="1"/>
  <c r="H159" i="1"/>
  <c r="I159" i="1"/>
  <c r="J159" i="1"/>
  <c r="E160" i="1"/>
  <c r="G160" i="1"/>
  <c r="H160" i="1"/>
  <c r="I160" i="1"/>
  <c r="J160" i="1"/>
  <c r="E161" i="1"/>
  <c r="G161" i="1"/>
  <c r="H161" i="1"/>
  <c r="I161" i="1"/>
  <c r="J161" i="1"/>
  <c r="E162" i="1"/>
  <c r="G162" i="1"/>
  <c r="H162" i="1"/>
  <c r="I162" i="1"/>
  <c r="J162" i="1"/>
  <c r="E163" i="1"/>
  <c r="G163" i="1"/>
  <c r="H163" i="1"/>
  <c r="I163" i="1"/>
  <c r="J163" i="1"/>
  <c r="E164" i="1"/>
  <c r="G164" i="1"/>
  <c r="H164" i="1"/>
  <c r="I164" i="1"/>
  <c r="J164" i="1"/>
  <c r="E165" i="1"/>
  <c r="G165" i="1"/>
  <c r="H165" i="1"/>
  <c r="I165" i="1"/>
  <c r="J165" i="1"/>
  <c r="E166" i="1"/>
  <c r="G166" i="1"/>
  <c r="H166" i="1"/>
  <c r="I166" i="1"/>
  <c r="J166" i="1"/>
  <c r="E167" i="1"/>
  <c r="G167" i="1"/>
  <c r="H167" i="1"/>
  <c r="I167" i="1"/>
  <c r="J167" i="1"/>
  <c r="E168" i="1"/>
  <c r="G168" i="1"/>
  <c r="H168" i="1"/>
  <c r="I168" i="1"/>
  <c r="J168" i="1"/>
  <c r="E169" i="1"/>
  <c r="G169" i="1"/>
  <c r="H169" i="1"/>
  <c r="I169" i="1"/>
  <c r="J169" i="1"/>
  <c r="E170" i="1"/>
  <c r="G170" i="1"/>
  <c r="H170" i="1"/>
  <c r="I170" i="1"/>
  <c r="J170" i="1"/>
  <c r="E171" i="1"/>
  <c r="G171" i="1"/>
  <c r="H171" i="1"/>
  <c r="I171" i="1"/>
  <c r="J171" i="1"/>
  <c r="E172" i="1"/>
  <c r="G172" i="1"/>
  <c r="H172" i="1"/>
  <c r="I172" i="1"/>
  <c r="J172" i="1"/>
  <c r="E173" i="1"/>
  <c r="G173" i="1"/>
  <c r="H173" i="1"/>
  <c r="I173" i="1"/>
  <c r="J173" i="1"/>
  <c r="E174" i="1"/>
  <c r="G174" i="1"/>
  <c r="H174" i="1"/>
  <c r="I174" i="1"/>
  <c r="J174" i="1"/>
  <c r="E175" i="1"/>
  <c r="G175" i="1"/>
  <c r="H175" i="1"/>
  <c r="I175" i="1"/>
  <c r="J175" i="1"/>
  <c r="E176" i="1"/>
  <c r="G176" i="1"/>
  <c r="H176" i="1"/>
  <c r="I176" i="1"/>
  <c r="J176" i="1"/>
  <c r="E177" i="1"/>
  <c r="G177" i="1"/>
  <c r="H177" i="1"/>
  <c r="I177" i="1"/>
  <c r="J177" i="1"/>
  <c r="E178" i="1"/>
  <c r="G178" i="1"/>
  <c r="H178" i="1"/>
  <c r="I178" i="1"/>
  <c r="J178" i="1"/>
  <c r="E179" i="1"/>
  <c r="G179" i="1"/>
  <c r="H179" i="1"/>
  <c r="I179" i="1"/>
  <c r="J179" i="1"/>
  <c r="E180" i="1"/>
  <c r="G180" i="1"/>
  <c r="H180" i="1"/>
  <c r="I180" i="1"/>
  <c r="J180" i="1"/>
  <c r="E181" i="1"/>
  <c r="G181" i="1"/>
  <c r="H181" i="1"/>
  <c r="I181" i="1"/>
  <c r="J181" i="1"/>
  <c r="E182" i="1"/>
  <c r="G182" i="1"/>
  <c r="H182" i="1"/>
  <c r="I182" i="1"/>
  <c r="J182" i="1"/>
  <c r="E183" i="1"/>
  <c r="G183" i="1"/>
  <c r="H183" i="1"/>
  <c r="I183" i="1"/>
  <c r="J183" i="1"/>
  <c r="E184" i="1"/>
  <c r="G184" i="1"/>
  <c r="H184" i="1"/>
  <c r="I184" i="1"/>
  <c r="J184" i="1"/>
  <c r="E185" i="1"/>
  <c r="G185" i="1"/>
  <c r="H185" i="1"/>
  <c r="I185" i="1"/>
  <c r="J185" i="1"/>
  <c r="E186" i="1"/>
  <c r="G186" i="1"/>
  <c r="H186" i="1"/>
  <c r="I186" i="1"/>
  <c r="J186" i="1"/>
  <c r="E187" i="1"/>
  <c r="G187" i="1"/>
  <c r="H187" i="1"/>
  <c r="I187" i="1"/>
  <c r="J187" i="1"/>
  <c r="E188" i="1"/>
  <c r="G188" i="1"/>
  <c r="H188" i="1"/>
  <c r="I188" i="1"/>
  <c r="J188" i="1"/>
  <c r="E189" i="1"/>
  <c r="G189" i="1"/>
  <c r="H189" i="1"/>
  <c r="I189" i="1"/>
  <c r="J189" i="1"/>
  <c r="E190" i="1"/>
  <c r="G190" i="1"/>
  <c r="H190" i="1"/>
  <c r="I190" i="1"/>
  <c r="J190" i="1"/>
  <c r="E191" i="1"/>
  <c r="G191" i="1"/>
  <c r="H191" i="1"/>
  <c r="I191" i="1"/>
  <c r="J191" i="1"/>
  <c r="E192" i="1"/>
  <c r="G192" i="1"/>
  <c r="H192" i="1"/>
  <c r="I192" i="1"/>
  <c r="J192" i="1"/>
  <c r="E193" i="1"/>
  <c r="G193" i="1"/>
  <c r="H193" i="1"/>
  <c r="I193" i="1"/>
  <c r="J193" i="1"/>
  <c r="E194" i="1"/>
  <c r="G194" i="1"/>
  <c r="H194" i="1"/>
  <c r="I194" i="1"/>
  <c r="J194" i="1"/>
  <c r="E195" i="1"/>
  <c r="G195" i="1"/>
  <c r="H195" i="1"/>
  <c r="I195" i="1"/>
  <c r="J195" i="1"/>
  <c r="E196" i="1"/>
  <c r="G196" i="1"/>
  <c r="H196" i="1"/>
  <c r="I196" i="1"/>
  <c r="J196" i="1"/>
  <c r="E197" i="1"/>
  <c r="G197" i="1"/>
  <c r="H197" i="1"/>
  <c r="I197" i="1"/>
  <c r="J197" i="1"/>
  <c r="E198" i="1"/>
  <c r="G198" i="1"/>
  <c r="H198" i="1"/>
  <c r="I198" i="1"/>
  <c r="J198" i="1"/>
  <c r="E199" i="1"/>
  <c r="G199" i="1"/>
  <c r="H199" i="1"/>
  <c r="I199" i="1"/>
  <c r="J199" i="1"/>
  <c r="E200" i="1"/>
  <c r="G200" i="1"/>
  <c r="H200" i="1"/>
  <c r="I200" i="1"/>
  <c r="J200" i="1"/>
  <c r="E201" i="1"/>
  <c r="G201" i="1"/>
  <c r="H201" i="1"/>
  <c r="I201" i="1"/>
  <c r="J201" i="1"/>
  <c r="E202" i="1"/>
  <c r="G202" i="1"/>
  <c r="H202" i="1"/>
  <c r="I202" i="1"/>
  <c r="J202" i="1"/>
  <c r="E203" i="1"/>
  <c r="G203" i="1"/>
  <c r="H203" i="1"/>
  <c r="I203" i="1"/>
  <c r="J203" i="1"/>
  <c r="E204" i="1"/>
  <c r="G204" i="1"/>
  <c r="H204" i="1"/>
  <c r="I204" i="1"/>
  <c r="J204" i="1"/>
  <c r="E205" i="1"/>
  <c r="G205" i="1"/>
  <c r="H205" i="1"/>
  <c r="I205" i="1"/>
  <c r="J205" i="1"/>
  <c r="E206" i="1"/>
  <c r="G206" i="1"/>
  <c r="H206" i="1"/>
  <c r="I206" i="1"/>
  <c r="J206" i="1"/>
  <c r="E207" i="1"/>
  <c r="G207" i="1"/>
  <c r="H207" i="1"/>
  <c r="I207" i="1"/>
  <c r="J207" i="1"/>
  <c r="E208" i="1"/>
  <c r="G208" i="1"/>
  <c r="H208" i="1"/>
  <c r="I208" i="1"/>
  <c r="J208" i="1"/>
  <c r="E209" i="1"/>
  <c r="G209" i="1"/>
  <c r="H209" i="1"/>
  <c r="I209" i="1"/>
  <c r="J209" i="1"/>
  <c r="E210" i="1"/>
  <c r="G210" i="1"/>
  <c r="H210" i="1"/>
  <c r="I210" i="1"/>
  <c r="J210" i="1"/>
  <c r="E211" i="1"/>
  <c r="G211" i="1"/>
  <c r="H211" i="1"/>
  <c r="I211" i="1"/>
  <c r="J211" i="1"/>
  <c r="E212" i="1"/>
  <c r="G212" i="1"/>
  <c r="H212" i="1"/>
  <c r="I212" i="1"/>
  <c r="J212" i="1"/>
  <c r="E213" i="1"/>
  <c r="G213" i="1"/>
  <c r="H213" i="1"/>
  <c r="I213" i="1"/>
  <c r="J213" i="1"/>
  <c r="E214" i="1"/>
  <c r="G214" i="1"/>
  <c r="H214" i="1"/>
  <c r="I214" i="1"/>
  <c r="J214" i="1"/>
  <c r="E215" i="1"/>
  <c r="G215" i="1"/>
  <c r="H215" i="1"/>
  <c r="I215" i="1"/>
  <c r="J215" i="1"/>
  <c r="E216" i="1"/>
  <c r="G216" i="1"/>
  <c r="H216" i="1"/>
  <c r="I216" i="1"/>
  <c r="J216" i="1"/>
  <c r="E217" i="1"/>
  <c r="G217" i="1"/>
  <c r="H217" i="1"/>
  <c r="I217" i="1"/>
  <c r="J217" i="1"/>
  <c r="E218" i="1"/>
  <c r="G218" i="1"/>
  <c r="H218" i="1"/>
  <c r="I218" i="1"/>
  <c r="J218" i="1"/>
  <c r="E219" i="1"/>
  <c r="G219" i="1"/>
  <c r="H219" i="1"/>
  <c r="I219" i="1"/>
  <c r="J219" i="1"/>
  <c r="E220" i="1"/>
  <c r="G220" i="1"/>
  <c r="H220" i="1"/>
  <c r="I220" i="1"/>
  <c r="J220" i="1"/>
  <c r="E221" i="1"/>
  <c r="G221" i="1"/>
  <c r="H221" i="1"/>
  <c r="I221" i="1"/>
  <c r="J221" i="1"/>
  <c r="E222" i="1"/>
  <c r="G222" i="1"/>
  <c r="H222" i="1"/>
  <c r="I222" i="1"/>
  <c r="J222" i="1"/>
  <c r="E223" i="1"/>
  <c r="G223" i="1"/>
  <c r="H223" i="1"/>
  <c r="I223" i="1"/>
  <c r="J223" i="1"/>
  <c r="E224" i="1"/>
  <c r="G224" i="1"/>
  <c r="H224" i="1"/>
  <c r="I224" i="1"/>
  <c r="J224" i="1"/>
  <c r="E225" i="1"/>
  <c r="G225" i="1"/>
  <c r="H225" i="1"/>
  <c r="I225" i="1"/>
  <c r="J225" i="1"/>
  <c r="E226" i="1"/>
  <c r="G226" i="1"/>
  <c r="H226" i="1"/>
  <c r="I226" i="1"/>
  <c r="J226" i="1"/>
  <c r="E227" i="1"/>
  <c r="G227" i="1"/>
  <c r="H227" i="1"/>
  <c r="I227" i="1"/>
  <c r="J227" i="1"/>
  <c r="E228" i="1"/>
  <c r="G228" i="1"/>
  <c r="H228" i="1"/>
  <c r="I228" i="1"/>
  <c r="J228" i="1"/>
  <c r="E229" i="1"/>
  <c r="G229" i="1"/>
  <c r="H229" i="1"/>
  <c r="I229" i="1"/>
  <c r="J229" i="1"/>
  <c r="E230" i="1"/>
  <c r="G230" i="1"/>
  <c r="H230" i="1"/>
  <c r="I230" i="1"/>
  <c r="J230" i="1"/>
  <c r="E231" i="1"/>
  <c r="G231" i="1"/>
  <c r="H231" i="1"/>
  <c r="I231" i="1"/>
  <c r="J231" i="1"/>
  <c r="E232" i="1"/>
  <c r="G232" i="1"/>
  <c r="H232" i="1"/>
  <c r="I232" i="1"/>
  <c r="J232" i="1"/>
  <c r="E233" i="1"/>
  <c r="G233" i="1"/>
  <c r="H233" i="1"/>
  <c r="I233" i="1"/>
  <c r="J233" i="1"/>
  <c r="E234" i="1"/>
  <c r="G234" i="1"/>
  <c r="H234" i="1"/>
  <c r="I234" i="1"/>
  <c r="J234" i="1"/>
  <c r="E235" i="1"/>
  <c r="G235" i="1"/>
  <c r="H235" i="1"/>
  <c r="I235" i="1"/>
  <c r="J235" i="1"/>
  <c r="E236" i="1"/>
  <c r="G236" i="1"/>
  <c r="H236" i="1"/>
  <c r="I236" i="1"/>
  <c r="J236" i="1"/>
  <c r="E237" i="1"/>
  <c r="G237" i="1"/>
  <c r="H237" i="1"/>
  <c r="I237" i="1"/>
  <c r="J237" i="1"/>
  <c r="E238" i="1"/>
  <c r="G238" i="1"/>
  <c r="H238" i="1"/>
  <c r="I238" i="1"/>
  <c r="J238" i="1"/>
  <c r="E239" i="1"/>
  <c r="G239" i="1"/>
  <c r="H239" i="1"/>
  <c r="I239" i="1"/>
  <c r="J239" i="1"/>
  <c r="E240" i="1"/>
  <c r="G240" i="1"/>
  <c r="H240" i="1"/>
  <c r="I240" i="1"/>
  <c r="J240" i="1"/>
  <c r="E241" i="1"/>
  <c r="G241" i="1"/>
  <c r="H241" i="1"/>
  <c r="I241" i="1"/>
  <c r="J241" i="1"/>
  <c r="E242" i="1"/>
  <c r="G242" i="1"/>
  <c r="H242" i="1"/>
  <c r="I242" i="1"/>
  <c r="J242" i="1"/>
  <c r="E243" i="1"/>
  <c r="G243" i="1"/>
  <c r="H243" i="1"/>
  <c r="I243" i="1"/>
  <c r="J243" i="1"/>
  <c r="E244" i="1"/>
  <c r="G244" i="1"/>
  <c r="H244" i="1"/>
  <c r="I244" i="1"/>
  <c r="J244" i="1"/>
  <c r="E245" i="1"/>
  <c r="G245" i="1"/>
  <c r="H245" i="1"/>
  <c r="I245" i="1"/>
  <c r="J245" i="1"/>
  <c r="E246" i="1"/>
  <c r="G246" i="1"/>
  <c r="H246" i="1"/>
  <c r="I246" i="1"/>
  <c r="J246" i="1"/>
  <c r="E247" i="1"/>
  <c r="G247" i="1"/>
  <c r="H247" i="1"/>
  <c r="I247" i="1"/>
  <c r="J247" i="1"/>
  <c r="E248" i="1"/>
  <c r="G248" i="1"/>
  <c r="H248" i="1"/>
  <c r="I248" i="1"/>
  <c r="J248" i="1"/>
  <c r="E249" i="1"/>
  <c r="G249" i="1"/>
  <c r="H249" i="1"/>
  <c r="I249" i="1"/>
  <c r="J249" i="1"/>
  <c r="E250" i="1"/>
  <c r="G250" i="1"/>
  <c r="H250" i="1"/>
  <c r="I250" i="1"/>
  <c r="J250" i="1"/>
  <c r="E251" i="1"/>
  <c r="G251" i="1"/>
  <c r="H251" i="1"/>
  <c r="I251" i="1"/>
  <c r="J251" i="1"/>
  <c r="E252" i="1"/>
  <c r="G252" i="1"/>
  <c r="H252" i="1"/>
  <c r="I252" i="1"/>
  <c r="J252" i="1"/>
  <c r="E253" i="1"/>
  <c r="G253" i="1"/>
  <c r="H253" i="1"/>
  <c r="I253" i="1"/>
  <c r="J253" i="1"/>
  <c r="E254" i="1"/>
  <c r="G254" i="1"/>
  <c r="H254" i="1"/>
  <c r="I254" i="1"/>
  <c r="J254" i="1"/>
  <c r="E255" i="1"/>
  <c r="G255" i="1"/>
  <c r="H255" i="1"/>
  <c r="I255" i="1"/>
  <c r="J255" i="1"/>
  <c r="E256" i="1"/>
  <c r="G256" i="1"/>
  <c r="H256" i="1"/>
  <c r="I256" i="1"/>
  <c r="J256" i="1"/>
  <c r="E257" i="1"/>
  <c r="G257" i="1"/>
  <c r="H257" i="1"/>
  <c r="I257" i="1"/>
  <c r="J257" i="1"/>
  <c r="E258" i="1"/>
  <c r="G258" i="1"/>
  <c r="H258" i="1"/>
  <c r="I258" i="1"/>
  <c r="J258" i="1"/>
  <c r="E259" i="1"/>
  <c r="G259" i="1"/>
  <c r="H259" i="1"/>
  <c r="I259" i="1"/>
  <c r="J259" i="1"/>
  <c r="E260" i="1"/>
  <c r="G260" i="1"/>
  <c r="H260" i="1"/>
  <c r="I260" i="1"/>
  <c r="J260" i="1"/>
  <c r="E261" i="1"/>
  <c r="G261" i="1"/>
  <c r="H261" i="1"/>
  <c r="I261" i="1"/>
  <c r="J261" i="1"/>
  <c r="E262" i="1"/>
  <c r="G262" i="1"/>
  <c r="H262" i="1"/>
  <c r="I262" i="1"/>
  <c r="J262" i="1"/>
  <c r="E263" i="1"/>
  <c r="G263" i="1"/>
  <c r="H263" i="1"/>
  <c r="I263" i="1"/>
  <c r="J263" i="1"/>
  <c r="E264" i="1"/>
  <c r="G264" i="1"/>
  <c r="H264" i="1"/>
  <c r="I264" i="1"/>
  <c r="J264" i="1"/>
  <c r="E265" i="1"/>
  <c r="G265" i="1"/>
  <c r="H265" i="1"/>
  <c r="I265" i="1"/>
  <c r="J265" i="1"/>
  <c r="D25" i="7"/>
  <c r="E25" i="7" s="1"/>
  <c r="B49" i="7" s="1"/>
  <c r="D24" i="7"/>
  <c r="E24" i="7" s="1"/>
  <c r="D23" i="7"/>
  <c r="E23" i="7" s="1"/>
  <c r="D22" i="7"/>
  <c r="E22" i="7" s="1"/>
  <c r="D21" i="7"/>
  <c r="E21" i="7" s="1"/>
  <c r="D20" i="7"/>
  <c r="E20" i="7" s="1"/>
  <c r="D19" i="7"/>
  <c r="E19" i="7" s="1"/>
  <c r="D18" i="7"/>
  <c r="E18" i="7" s="1"/>
  <c r="D17" i="7"/>
  <c r="E17" i="7" s="1"/>
  <c r="D16" i="7"/>
  <c r="E16" i="7" s="1"/>
  <c r="B31" i="7" s="1"/>
  <c r="D15" i="7"/>
  <c r="E15" i="7" s="1"/>
  <c r="B29" i="7" s="1"/>
  <c r="D4" i="7"/>
  <c r="E4" i="7" s="1"/>
  <c r="B30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3" i="7"/>
  <c r="E3" i="7" s="1"/>
  <c r="B28" i="7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1" i="6"/>
  <c r="G2" i="6"/>
  <c r="G3" i="6"/>
  <c r="G4" i="6"/>
  <c r="G5" i="6"/>
  <c r="G6" i="6"/>
  <c r="G7" i="6"/>
  <c r="G8" i="6"/>
  <c r="G9" i="6"/>
  <c r="G10" i="6"/>
  <c r="G11" i="6"/>
  <c r="G12" i="6"/>
  <c r="G1" i="6"/>
  <c r="A35" i="3"/>
  <c r="A33" i="3"/>
  <c r="A20" i="3"/>
  <c r="G2" i="1"/>
  <c r="H2" i="1"/>
  <c r="I2" i="1"/>
  <c r="J2" i="1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203" i="5"/>
  <c r="I202" i="5"/>
  <c r="I201" i="5"/>
  <c r="I200" i="5"/>
  <c r="I199" i="5"/>
  <c r="I198" i="5"/>
  <c r="I197" i="5"/>
  <c r="I196" i="5"/>
  <c r="I195" i="5"/>
  <c r="I194" i="5"/>
  <c r="I193" i="5"/>
  <c r="F85" i="1" s="1"/>
  <c r="I192" i="5"/>
  <c r="I191" i="5"/>
  <c r="I190" i="5"/>
  <c r="I189" i="5"/>
  <c r="I188" i="5"/>
  <c r="I187" i="5"/>
  <c r="I186" i="5"/>
  <c r="I185" i="5"/>
  <c r="I184" i="5"/>
  <c r="I183" i="5"/>
  <c r="I182" i="5"/>
  <c r="I233" i="5"/>
  <c r="I232" i="5"/>
  <c r="I231" i="5"/>
  <c r="I230" i="5"/>
  <c r="I229" i="5"/>
  <c r="I228" i="5"/>
  <c r="I227" i="5"/>
  <c r="I226" i="5"/>
  <c r="I225" i="5"/>
  <c r="F25" i="1" s="1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323" i="5"/>
  <c r="I322" i="5"/>
  <c r="F206" i="1" s="1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F157" i="1" s="1"/>
  <c r="I332" i="5"/>
  <c r="A36" i="3"/>
  <c r="A37" i="3"/>
  <c r="A38" i="3"/>
  <c r="A39" i="3"/>
  <c r="A40" i="3"/>
  <c r="A41" i="3"/>
  <c r="A42" i="3"/>
  <c r="F238" i="1" l="1"/>
  <c r="F266" i="1"/>
  <c r="F325" i="1"/>
  <c r="F317" i="1"/>
  <c r="F309" i="1"/>
  <c r="F301" i="1"/>
  <c r="F330" i="1"/>
  <c r="F297" i="1"/>
  <c r="F360" i="1"/>
  <c r="F328" i="1"/>
  <c r="F327" i="1"/>
  <c r="F359" i="1"/>
  <c r="F351" i="1"/>
  <c r="F343" i="1"/>
  <c r="F335" i="1"/>
  <c r="F319" i="1"/>
  <c r="F311" i="1"/>
  <c r="F303" i="1"/>
  <c r="F295" i="1"/>
  <c r="F358" i="1"/>
  <c r="F350" i="1"/>
  <c r="F342" i="1"/>
  <c r="F334" i="1"/>
  <c r="F326" i="1"/>
  <c r="F318" i="1"/>
  <c r="F310" i="1"/>
  <c r="F302" i="1"/>
  <c r="F294" i="1"/>
  <c r="F293" i="1"/>
  <c r="F341" i="1"/>
  <c r="F356" i="1"/>
  <c r="F348" i="1"/>
  <c r="F340" i="1"/>
  <c r="F332" i="1"/>
  <c r="F324" i="1"/>
  <c r="F316" i="1"/>
  <c r="F308" i="1"/>
  <c r="F300" i="1"/>
  <c r="F292" i="1"/>
  <c r="F349" i="1"/>
  <c r="F333" i="1"/>
  <c r="F355" i="1"/>
  <c r="F347" i="1"/>
  <c r="F339" i="1"/>
  <c r="F331" i="1"/>
  <c r="F323" i="1"/>
  <c r="F315" i="1"/>
  <c r="F307" i="1"/>
  <c r="F299" i="1"/>
  <c r="F291" i="1"/>
  <c r="F354" i="1"/>
  <c r="F346" i="1"/>
  <c r="F338" i="1"/>
  <c r="F322" i="1"/>
  <c r="F314" i="1"/>
  <c r="F306" i="1"/>
  <c r="F298" i="1"/>
  <c r="F290" i="1"/>
  <c r="F73" i="1"/>
  <c r="F361" i="1"/>
  <c r="F353" i="1"/>
  <c r="F345" i="1"/>
  <c r="F337" i="1"/>
  <c r="F329" i="1"/>
  <c r="F321" i="1"/>
  <c r="F313" i="1"/>
  <c r="F305" i="1"/>
  <c r="F289" i="1"/>
  <c r="F352" i="1"/>
  <c r="F344" i="1"/>
  <c r="F336" i="1"/>
  <c r="F320" i="1"/>
  <c r="F312" i="1"/>
  <c r="F304" i="1"/>
  <c r="F296" i="1"/>
  <c r="F288" i="1"/>
  <c r="F219" i="1"/>
  <c r="F102" i="1"/>
  <c r="F106" i="1"/>
  <c r="F54" i="1"/>
  <c r="F150" i="1"/>
  <c r="F114" i="1"/>
  <c r="F101" i="1"/>
  <c r="F94" i="1"/>
  <c r="F74" i="1"/>
  <c r="F49" i="1"/>
  <c r="F221" i="1"/>
  <c r="F161" i="1"/>
  <c r="F113" i="1"/>
  <c r="F246" i="1"/>
  <c r="F134" i="1"/>
  <c r="F247" i="1"/>
  <c r="F52" i="1"/>
  <c r="F179" i="1"/>
  <c r="F180" i="1"/>
  <c r="F138" i="1"/>
  <c r="F225" i="1"/>
  <c r="F250" i="1"/>
  <c r="F181" i="1"/>
  <c r="F172" i="1"/>
  <c r="B48" i="7"/>
  <c r="F235" i="1"/>
  <c r="F217" i="1"/>
  <c r="F185" i="1"/>
  <c r="F210" i="1"/>
  <c r="F174" i="1"/>
  <c r="F202" i="1"/>
  <c r="F23" i="1"/>
  <c r="F117" i="1"/>
  <c r="F197" i="1"/>
  <c r="F237" i="1"/>
  <c r="F234" i="1"/>
  <c r="F137" i="1"/>
  <c r="F233" i="1"/>
  <c r="F215" i="1"/>
  <c r="F209" i="1"/>
  <c r="F70" i="1"/>
  <c r="F122" i="1"/>
  <c r="F159" i="1"/>
  <c r="F30" i="1"/>
  <c r="F148" i="1"/>
  <c r="F186" i="1"/>
  <c r="F212" i="1"/>
  <c r="F214" i="1"/>
  <c r="F245" i="1"/>
  <c r="F178" i="1"/>
  <c r="F256" i="1"/>
  <c r="F149" i="1"/>
  <c r="F226" i="1"/>
  <c r="F187" i="1"/>
  <c r="F230" i="1"/>
  <c r="F242" i="1"/>
  <c r="F213" i="1"/>
  <c r="F158" i="1"/>
  <c r="F162" i="1"/>
  <c r="F241" i="1"/>
  <c r="F198" i="1"/>
  <c r="F193" i="1"/>
  <c r="F125" i="1"/>
  <c r="F155" i="1"/>
  <c r="F124" i="1"/>
  <c r="F91" i="1"/>
  <c r="F169" i="1"/>
  <c r="F171" i="1"/>
  <c r="F258" i="1"/>
  <c r="F249" i="1"/>
  <c r="F173" i="1"/>
  <c r="F145" i="1"/>
  <c r="F257" i="1"/>
  <c r="F261" i="1"/>
  <c r="F146" i="1"/>
  <c r="F195" i="1"/>
  <c r="F224" i="1"/>
  <c r="F176" i="1"/>
  <c r="F260" i="1"/>
  <c r="F240" i="1"/>
  <c r="F136" i="1"/>
  <c r="F220" i="1"/>
  <c r="F248" i="1"/>
  <c r="F194" i="1"/>
  <c r="F192" i="1"/>
  <c r="F56" i="1"/>
  <c r="F78" i="1"/>
  <c r="F42" i="1"/>
  <c r="F128" i="1"/>
  <c r="F68" i="1"/>
  <c r="F228" i="1"/>
  <c r="F60" i="1"/>
  <c r="F262" i="1"/>
  <c r="F38" i="1"/>
  <c r="F119" i="1"/>
  <c r="F120" i="1"/>
  <c r="F133" i="1"/>
  <c r="F201" i="1"/>
  <c r="F93" i="1"/>
  <c r="F168" i="1"/>
  <c r="F147" i="1"/>
  <c r="F227" i="1"/>
  <c r="F111" i="1"/>
  <c r="F24" i="1"/>
  <c r="F43" i="1"/>
  <c r="F123" i="1"/>
  <c r="F31" i="1"/>
  <c r="F160" i="1"/>
  <c r="F103" i="1"/>
  <c r="F126" i="1"/>
  <c r="F77" i="1"/>
  <c r="F259" i="1"/>
  <c r="F203" i="1"/>
  <c r="F35" i="1"/>
  <c r="F163" i="1"/>
  <c r="F107" i="1"/>
  <c r="F139" i="1"/>
  <c r="F87" i="1"/>
  <c r="F243" i="1"/>
  <c r="F190" i="1"/>
  <c r="F263" i="1"/>
  <c r="F216" i="1"/>
  <c r="F141" i="1"/>
  <c r="F232" i="1"/>
  <c r="F39" i="1"/>
  <c r="F99" i="1"/>
  <c r="F239" i="1"/>
  <c r="F223" i="1"/>
  <c r="F55" i="1"/>
  <c r="F115" i="1"/>
  <c r="F65" i="1"/>
  <c r="F95" i="1"/>
  <c r="F116" i="1"/>
  <c r="F127" i="1"/>
  <c r="F71" i="1"/>
  <c r="F59" i="1"/>
  <c r="F188" i="1"/>
  <c r="F97" i="1"/>
  <c r="F41" i="1"/>
  <c r="F61" i="1"/>
  <c r="F82" i="1"/>
  <c r="F264" i="1"/>
  <c r="F231" i="1"/>
  <c r="F63" i="1"/>
  <c r="F255" i="1"/>
  <c r="F265" i="1"/>
  <c r="F199" i="1"/>
  <c r="F34" i="1"/>
  <c r="F151" i="1"/>
  <c r="F144" i="1"/>
  <c r="F152" i="1"/>
  <c r="F166" i="1"/>
  <c r="F51" i="1"/>
  <c r="F110" i="1"/>
  <c r="F142" i="1"/>
  <c r="F84" i="1"/>
  <c r="F76" i="1"/>
  <c r="F40" i="1"/>
  <c r="F112" i="1"/>
  <c r="F96" i="1"/>
  <c r="F86" i="1"/>
  <c r="F80" i="1"/>
  <c r="F45" i="1"/>
  <c r="F72" i="1"/>
  <c r="F130" i="1"/>
  <c r="F47" i="1"/>
  <c r="F98" i="1"/>
  <c r="F244" i="1"/>
  <c r="F175" i="1"/>
  <c r="F121" i="1"/>
  <c r="F75" i="1"/>
  <c r="F100" i="1"/>
  <c r="F44" i="1"/>
  <c r="F33" i="1"/>
  <c r="F196" i="1"/>
  <c r="F204" i="1"/>
  <c r="F37" i="1"/>
  <c r="F165" i="1"/>
  <c r="F184" i="1"/>
  <c r="F153" i="1"/>
  <c r="F83" i="1"/>
  <c r="F191" i="1"/>
  <c r="F254" i="1"/>
  <c r="F177" i="1"/>
  <c r="F218" i="1"/>
  <c r="F28" i="1"/>
  <c r="F208" i="1"/>
  <c r="F66" i="1"/>
  <c r="F104" i="1"/>
  <c r="F105" i="1"/>
  <c r="F143" i="1"/>
  <c r="F67" i="1"/>
  <c r="F58" i="1"/>
  <c r="F27" i="1"/>
  <c r="F118" i="1"/>
  <c r="F129" i="1"/>
  <c r="F189" i="1"/>
  <c r="F229" i="1"/>
  <c r="F88" i="1"/>
  <c r="F50" i="1"/>
  <c r="F205" i="1"/>
  <c r="F200" i="1"/>
  <c r="F89" i="1"/>
  <c r="F48" i="1"/>
  <c r="F90" i="1"/>
  <c r="F69" i="1"/>
  <c r="F135" i="1"/>
  <c r="F64" i="1"/>
  <c r="F32" i="1"/>
  <c r="F211" i="1"/>
  <c r="F183" i="1"/>
  <c r="F36" i="1"/>
  <c r="F164" i="1"/>
  <c r="F81" i="1"/>
  <c r="F140" i="1"/>
  <c r="F62" i="1"/>
  <c r="F154" i="1"/>
  <c r="F131" i="1"/>
  <c r="B36" i="7"/>
  <c r="B45" i="7"/>
  <c r="B43" i="7"/>
  <c r="B42" i="7"/>
  <c r="B40" i="7"/>
  <c r="B38" i="7"/>
  <c r="B35" i="7"/>
  <c r="B37" i="7"/>
  <c r="B33" i="7"/>
  <c r="B46" i="7"/>
  <c r="B41" i="7"/>
  <c r="B39" i="7"/>
  <c r="B44" i="7"/>
  <c r="B47" i="7"/>
  <c r="B32" i="7"/>
  <c r="B34" i="7"/>
  <c r="A2" i="3"/>
  <c r="A3" i="3"/>
  <c r="H356" i="5" s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1" i="3"/>
  <c r="A22" i="3"/>
  <c r="A23" i="3"/>
  <c r="A24" i="3"/>
  <c r="A25" i="3"/>
  <c r="A26" i="3"/>
  <c r="A27" i="3"/>
  <c r="A28" i="3"/>
  <c r="A29" i="3"/>
  <c r="A30" i="3"/>
  <c r="A31" i="3"/>
  <c r="A32" i="3"/>
  <c r="A34" i="3"/>
  <c r="A1" i="3"/>
  <c r="I2" i="2"/>
  <c r="I3" i="2"/>
  <c r="I4" i="2"/>
  <c r="I5" i="2"/>
  <c r="I1" i="2"/>
  <c r="D1" i="2"/>
  <c r="G91" i="5" l="1"/>
  <c r="H239" i="5"/>
  <c r="F27" i="5"/>
  <c r="H149" i="5"/>
  <c r="F177" i="5"/>
  <c r="A206" i="5"/>
  <c r="E117" i="5"/>
  <c r="E271" i="5"/>
  <c r="H235" i="5"/>
  <c r="G390" i="5"/>
  <c r="F84" i="5"/>
  <c r="E24" i="5"/>
  <c r="E236" i="5"/>
  <c r="A61" i="5"/>
  <c r="G210" i="5"/>
  <c r="H390" i="5"/>
  <c r="H206" i="5"/>
  <c r="G298" i="5"/>
  <c r="A151" i="5"/>
  <c r="E147" i="5"/>
  <c r="H295" i="5"/>
  <c r="F325" i="5"/>
  <c r="A28" i="5"/>
  <c r="F144" i="5"/>
  <c r="F266" i="5"/>
  <c r="H386" i="5"/>
  <c r="E266" i="5"/>
  <c r="F146" i="5"/>
  <c r="A176" i="5"/>
  <c r="H301" i="5"/>
  <c r="G240" i="5"/>
  <c r="A295" i="5"/>
  <c r="E57" i="5"/>
  <c r="A121" i="5"/>
  <c r="G329" i="5"/>
  <c r="F178" i="5"/>
  <c r="A148" i="5"/>
  <c r="A174" i="5"/>
  <c r="H54" i="5"/>
  <c r="H116" i="5"/>
  <c r="A235" i="5"/>
  <c r="E90" i="5"/>
  <c r="E58" i="5"/>
  <c r="E150" i="5"/>
  <c r="E25" i="5"/>
  <c r="A87" i="5"/>
  <c r="E389" i="5"/>
  <c r="E238" i="5"/>
  <c r="F209" i="5"/>
  <c r="F57" i="5"/>
  <c r="E86" i="5"/>
  <c r="A386" i="5"/>
  <c r="A300" i="5"/>
  <c r="F384" i="5"/>
  <c r="F324" i="5"/>
  <c r="F204" i="5"/>
  <c r="E61" i="5"/>
  <c r="H27" i="5"/>
  <c r="H299" i="5"/>
  <c r="F300" i="5"/>
  <c r="H60" i="5"/>
  <c r="A90" i="5"/>
  <c r="H210" i="5"/>
  <c r="A31" i="5"/>
  <c r="H270" i="5"/>
  <c r="F87" i="5"/>
  <c r="A360" i="5"/>
  <c r="H146" i="5"/>
  <c r="H119" i="5"/>
  <c r="H325" i="5"/>
  <c r="H117" i="5"/>
  <c r="G358" i="5"/>
  <c r="F60" i="5"/>
  <c r="G295" i="5"/>
  <c r="A301" i="5"/>
  <c r="A299" i="5"/>
  <c r="H181" i="5"/>
  <c r="G361" i="5"/>
  <c r="A391" i="5"/>
  <c r="A297" i="5"/>
  <c r="G356" i="5"/>
  <c r="F119" i="5"/>
  <c r="A116" i="5"/>
  <c r="E209" i="5"/>
  <c r="F385" i="5"/>
  <c r="F271" i="5"/>
  <c r="H241" i="5"/>
  <c r="H266" i="5"/>
  <c r="F208" i="5"/>
  <c r="H267" i="5"/>
  <c r="G270" i="5"/>
  <c r="H26" i="5"/>
  <c r="F85" i="5"/>
  <c r="H148" i="5"/>
  <c r="E205" i="5"/>
  <c r="A264" i="5"/>
  <c r="H175" i="5"/>
  <c r="G299" i="5"/>
  <c r="A178" i="5"/>
  <c r="F264" i="5"/>
  <c r="F115" i="5"/>
  <c r="F145" i="5"/>
  <c r="F386" i="5"/>
  <c r="A234" i="5"/>
  <c r="E180" i="5"/>
  <c r="G150" i="5"/>
  <c r="E329" i="5"/>
  <c r="E91" i="5"/>
  <c r="E298" i="5"/>
  <c r="E361" i="5"/>
  <c r="E208" i="5"/>
  <c r="E207" i="5"/>
  <c r="E360" i="5"/>
  <c r="H300" i="5"/>
  <c r="H234" i="5"/>
  <c r="H269" i="5"/>
  <c r="G206" i="5"/>
  <c r="G239" i="5"/>
  <c r="F211" i="5"/>
  <c r="F121" i="5"/>
  <c r="A240" i="5"/>
  <c r="A327" i="5"/>
  <c r="H61" i="5"/>
  <c r="G267" i="5"/>
  <c r="G234" i="5"/>
  <c r="G330" i="5"/>
  <c r="G269" i="5"/>
  <c r="G388" i="5"/>
  <c r="A181" i="5"/>
  <c r="G179" i="5"/>
  <c r="E31" i="5"/>
  <c r="F356" i="5"/>
  <c r="A294" i="5"/>
  <c r="H28" i="5"/>
  <c r="F117" i="5"/>
  <c r="G211" i="5"/>
  <c r="G176" i="5"/>
  <c r="G121" i="5"/>
  <c r="G327" i="5"/>
  <c r="A54" i="5"/>
  <c r="A239" i="5"/>
  <c r="G31" i="5"/>
  <c r="F174" i="5"/>
  <c r="F297" i="5"/>
  <c r="F294" i="5"/>
  <c r="F354" i="5"/>
  <c r="A25" i="5"/>
  <c r="A115" i="5"/>
  <c r="G271" i="5"/>
  <c r="F55" i="5"/>
  <c r="F265" i="5"/>
  <c r="F357" i="5"/>
  <c r="F237" i="5"/>
  <c r="F359" i="5"/>
  <c r="A117" i="5"/>
  <c r="A146" i="5"/>
  <c r="H84" i="5"/>
  <c r="G57" i="5"/>
  <c r="G209" i="5"/>
  <c r="G236" i="5"/>
  <c r="G238" i="5"/>
  <c r="G389" i="5"/>
  <c r="A91" i="5"/>
  <c r="F26" i="5"/>
  <c r="H55" i="5"/>
  <c r="H265" i="5"/>
  <c r="H357" i="5"/>
  <c r="H237" i="5"/>
  <c r="H359" i="5"/>
  <c r="A55" i="5"/>
  <c r="G88" i="5"/>
  <c r="G331" i="5"/>
  <c r="A57" i="5"/>
  <c r="E235" i="5"/>
  <c r="E239" i="5"/>
  <c r="F267" i="5"/>
  <c r="B324" i="1" s="1"/>
  <c r="G385" i="5"/>
  <c r="H87" i="5"/>
  <c r="H145" i="5"/>
  <c r="F295" i="5"/>
  <c r="E270" i="5"/>
  <c r="A88" i="5"/>
  <c r="A271" i="5"/>
  <c r="E144" i="5"/>
  <c r="E324" i="5"/>
  <c r="A385" i="5"/>
  <c r="G325" i="5"/>
  <c r="A56" i="5"/>
  <c r="G144" i="5"/>
  <c r="G264" i="5"/>
  <c r="G324" i="5"/>
  <c r="A147" i="5"/>
  <c r="A387" i="5"/>
  <c r="E151" i="5"/>
  <c r="E88" i="5"/>
  <c r="E331" i="5"/>
  <c r="E391" i="5"/>
  <c r="A330" i="5"/>
  <c r="G56" i="5"/>
  <c r="C298" i="1" s="1"/>
  <c r="F206" i="5"/>
  <c r="F181" i="5"/>
  <c r="F241" i="5"/>
  <c r="F301" i="5"/>
  <c r="F148" i="5"/>
  <c r="A238" i="5"/>
  <c r="E325" i="5"/>
  <c r="E146" i="5"/>
  <c r="A389" i="5"/>
  <c r="H91" i="5"/>
  <c r="H361" i="5"/>
  <c r="G175" i="5"/>
  <c r="A357" i="5"/>
  <c r="F210" i="5"/>
  <c r="F299" i="5"/>
  <c r="A390" i="5"/>
  <c r="E210" i="5"/>
  <c r="E390" i="5"/>
  <c r="H328" i="5"/>
  <c r="A324" i="5"/>
  <c r="E204" i="5"/>
  <c r="E384" i="5"/>
  <c r="H240" i="5"/>
  <c r="G119" i="5"/>
  <c r="A296" i="5"/>
  <c r="F86" i="5"/>
  <c r="A211" i="5"/>
  <c r="F179" i="5"/>
  <c r="G328" i="5"/>
  <c r="H151" i="5"/>
  <c r="H88" i="5"/>
  <c r="H326" i="5"/>
  <c r="H331" i="5"/>
  <c r="H391" i="5"/>
  <c r="A241" i="5"/>
  <c r="H180" i="5"/>
  <c r="F240" i="5"/>
  <c r="A84" i="5"/>
  <c r="A354" i="5"/>
  <c r="G266" i="5"/>
  <c r="H208" i="5"/>
  <c r="H85" i="5"/>
  <c r="H177" i="5"/>
  <c r="H178" i="5"/>
  <c r="H385" i="5"/>
  <c r="A175" i="5"/>
  <c r="F24" i="5"/>
  <c r="G117" i="5"/>
  <c r="E265" i="5"/>
  <c r="E357" i="5"/>
  <c r="E237" i="5"/>
  <c r="E359" i="5"/>
  <c r="A86" i="5"/>
  <c r="A145" i="5"/>
  <c r="H205" i="5"/>
  <c r="E300" i="5"/>
  <c r="E87" i="5"/>
  <c r="E115" i="5"/>
  <c r="E145" i="5"/>
  <c r="E386" i="5"/>
  <c r="A60" i="5"/>
  <c r="H24" i="5"/>
  <c r="E149" i="5"/>
  <c r="H174" i="5"/>
  <c r="H297" i="5"/>
  <c r="H294" i="5"/>
  <c r="H354" i="5"/>
  <c r="A180" i="5"/>
  <c r="A298" i="5"/>
  <c r="E358" i="5"/>
  <c r="G300" i="5"/>
  <c r="G87" i="5"/>
  <c r="G115" i="5"/>
  <c r="G145" i="5"/>
  <c r="G386" i="5"/>
  <c r="E28" i="5"/>
  <c r="G241" i="5"/>
  <c r="G148" i="5"/>
  <c r="H56" i="5"/>
  <c r="E177" i="5"/>
  <c r="E385" i="5"/>
  <c r="G85" i="5"/>
  <c r="G26" i="5"/>
  <c r="H90" i="5"/>
  <c r="H355" i="5"/>
  <c r="A356" i="5"/>
  <c r="E356" i="5"/>
  <c r="E299" i="5"/>
  <c r="E27" i="5"/>
  <c r="F205" i="5"/>
  <c r="E264" i="5"/>
  <c r="A208" i="5"/>
  <c r="G60" i="5"/>
  <c r="C331" i="1" s="1"/>
  <c r="G146" i="5"/>
  <c r="E56" i="5"/>
  <c r="A298" i="1" s="1"/>
  <c r="G204" i="5"/>
  <c r="G384" i="5"/>
  <c r="E326" i="5"/>
  <c r="A210" i="5"/>
  <c r="G180" i="5"/>
  <c r="E240" i="5"/>
  <c r="F175" i="5"/>
  <c r="F235" i="5"/>
  <c r="F116" i="5"/>
  <c r="F239" i="5"/>
  <c r="A26" i="5"/>
  <c r="A326" i="5"/>
  <c r="G28" i="5"/>
  <c r="G54" i="5"/>
  <c r="A144" i="5"/>
  <c r="A384" i="5"/>
  <c r="E84" i="5"/>
  <c r="F147" i="5"/>
  <c r="F207" i="5"/>
  <c r="F268" i="5"/>
  <c r="F360" i="5"/>
  <c r="F387" i="5"/>
  <c r="A85" i="5"/>
  <c r="G27" i="5"/>
  <c r="E55" i="5"/>
  <c r="H211" i="5"/>
  <c r="H176" i="5"/>
  <c r="H121" i="5"/>
  <c r="H327" i="5"/>
  <c r="A150" i="5"/>
  <c r="A355" i="5"/>
  <c r="G84" i="5"/>
  <c r="H147" i="5"/>
  <c r="H207" i="5"/>
  <c r="H268" i="5"/>
  <c r="H360" i="5"/>
  <c r="H387" i="5"/>
  <c r="A207" i="5"/>
  <c r="F25" i="5"/>
  <c r="F150" i="5"/>
  <c r="F58" i="5"/>
  <c r="F90" i="5"/>
  <c r="F296" i="5"/>
  <c r="F355" i="5"/>
  <c r="A358" i="5"/>
  <c r="A269" i="5"/>
  <c r="F61" i="5"/>
  <c r="E267" i="5"/>
  <c r="E234" i="5"/>
  <c r="E330" i="5"/>
  <c r="E269" i="5"/>
  <c r="E388" i="5"/>
  <c r="E295" i="5"/>
  <c r="E268" i="5"/>
  <c r="E387" i="5"/>
  <c r="A265" i="5"/>
  <c r="H330" i="5"/>
  <c r="H388" i="5"/>
  <c r="G235" i="5"/>
  <c r="A236" i="5"/>
  <c r="F176" i="5"/>
  <c r="F327" i="5"/>
  <c r="F236" i="5"/>
  <c r="F238" i="5"/>
  <c r="F389" i="5"/>
  <c r="A325" i="5"/>
  <c r="E26" i="5"/>
  <c r="G55" i="5"/>
  <c r="G265" i="5"/>
  <c r="G357" i="5"/>
  <c r="G237" i="5"/>
  <c r="G359" i="5"/>
  <c r="A328" i="5"/>
  <c r="A361" i="5"/>
  <c r="G86" i="5"/>
  <c r="H57" i="5"/>
  <c r="H209" i="5"/>
  <c r="H236" i="5"/>
  <c r="H238" i="5"/>
  <c r="H389" i="5"/>
  <c r="G151" i="5"/>
  <c r="G326" i="5"/>
  <c r="G391" i="5"/>
  <c r="E175" i="5"/>
  <c r="E116" i="5"/>
  <c r="A209" i="5"/>
  <c r="G177" i="5"/>
  <c r="H25" i="5"/>
  <c r="H115" i="5"/>
  <c r="A118" i="5"/>
  <c r="F29" i="5"/>
  <c r="E59" i="5"/>
  <c r="F89" i="5"/>
  <c r="F114" i="5"/>
  <c r="F118" i="5"/>
  <c r="H120" i="5"/>
  <c r="F234" i="5"/>
  <c r="A24" i="5"/>
  <c r="A120" i="5"/>
  <c r="G29" i="5"/>
  <c r="F59" i="5"/>
  <c r="B301" i="1" s="1"/>
  <c r="G89" i="5"/>
  <c r="G114" i="5"/>
  <c r="G118" i="5"/>
  <c r="F91" i="5"/>
  <c r="H29" i="5"/>
  <c r="G59" i="5"/>
  <c r="H86" i="5"/>
  <c r="H89" i="5"/>
  <c r="H114" i="5"/>
  <c r="H118" i="5"/>
  <c r="F330" i="5"/>
  <c r="E118" i="5"/>
  <c r="A29" i="5"/>
  <c r="H59" i="5"/>
  <c r="D301" i="1" s="1"/>
  <c r="F298" i="5"/>
  <c r="H30" i="5"/>
  <c r="A30" i="5"/>
  <c r="E30" i="5"/>
  <c r="F269" i="5"/>
  <c r="A59" i="5"/>
  <c r="F30" i="5"/>
  <c r="F328" i="5"/>
  <c r="G149" i="5"/>
  <c r="E120" i="5"/>
  <c r="F361" i="5"/>
  <c r="E29" i="5"/>
  <c r="E114" i="5"/>
  <c r="F329" i="5"/>
  <c r="A89" i="5"/>
  <c r="G30" i="5"/>
  <c r="F358" i="5"/>
  <c r="B300" i="1" s="1"/>
  <c r="G61" i="5"/>
  <c r="F120" i="5"/>
  <c r="F388" i="5"/>
  <c r="A114" i="5"/>
  <c r="E89" i="5"/>
  <c r="G120" i="5"/>
  <c r="A270" i="5"/>
  <c r="F28" i="5"/>
  <c r="F54" i="5"/>
  <c r="E211" i="5"/>
  <c r="E176" i="5"/>
  <c r="E121" i="5"/>
  <c r="E327" i="5"/>
  <c r="A149" i="5"/>
  <c r="A331" i="5"/>
  <c r="H358" i="5"/>
  <c r="D300" i="1" s="1"/>
  <c r="G208" i="5"/>
  <c r="A204" i="5"/>
  <c r="H179" i="5"/>
  <c r="F31" i="5"/>
  <c r="E174" i="5"/>
  <c r="E297" i="5"/>
  <c r="E294" i="5"/>
  <c r="E354" i="5"/>
  <c r="A179" i="5"/>
  <c r="A177" i="5"/>
  <c r="G205" i="5"/>
  <c r="C299" i="1" s="1"/>
  <c r="G147" i="5"/>
  <c r="G207" i="5"/>
  <c r="G268" i="5"/>
  <c r="G360" i="5"/>
  <c r="G387" i="5"/>
  <c r="A58" i="5"/>
  <c r="G24" i="5"/>
  <c r="H31" i="5"/>
  <c r="G174" i="5"/>
  <c r="G297" i="5"/>
  <c r="G294" i="5"/>
  <c r="G354" i="5"/>
  <c r="A27" i="5"/>
  <c r="A268" i="5"/>
  <c r="H271" i="5"/>
  <c r="E206" i="5"/>
  <c r="E181" i="5"/>
  <c r="E241" i="5"/>
  <c r="E301" i="5"/>
  <c r="E148" i="5"/>
  <c r="A267" i="5"/>
  <c r="A388" i="5"/>
  <c r="E328" i="5"/>
  <c r="F151" i="5"/>
  <c r="F88" i="5"/>
  <c r="F326" i="5"/>
  <c r="F331" i="5"/>
  <c r="F391" i="5"/>
  <c r="E60" i="5"/>
  <c r="E119" i="5"/>
  <c r="A359" i="5"/>
  <c r="H329" i="5"/>
  <c r="H298" i="5"/>
  <c r="E179" i="5"/>
  <c r="G116" i="5"/>
  <c r="H150" i="5"/>
  <c r="F270" i="5"/>
  <c r="F390" i="5"/>
  <c r="E296" i="5"/>
  <c r="E355" i="5"/>
  <c r="A205" i="5"/>
  <c r="A119" i="5"/>
  <c r="F56" i="5"/>
  <c r="H144" i="5"/>
  <c r="H204" i="5"/>
  <c r="H264" i="5"/>
  <c r="H324" i="5"/>
  <c r="H384" i="5"/>
  <c r="A329" i="5"/>
  <c r="G25" i="5"/>
  <c r="F149" i="5"/>
  <c r="G58" i="5"/>
  <c r="G90" i="5"/>
  <c r="G296" i="5"/>
  <c r="G355" i="5"/>
  <c r="A237" i="5"/>
  <c r="G181" i="5"/>
  <c r="G301" i="5"/>
  <c r="F180" i="5"/>
  <c r="E85" i="5"/>
  <c r="E178" i="5"/>
  <c r="E54" i="5"/>
  <c r="G178" i="5"/>
  <c r="H58" i="5"/>
  <c r="H296" i="5"/>
  <c r="A266" i="5"/>
  <c r="A370" i="5"/>
  <c r="A382" i="5"/>
  <c r="G364" i="5"/>
  <c r="G367" i="5"/>
  <c r="G370" i="5"/>
  <c r="G373" i="5"/>
  <c r="G376" i="5"/>
  <c r="G379" i="5"/>
  <c r="G382" i="5"/>
  <c r="H212" i="5"/>
  <c r="H77" i="5"/>
  <c r="H227" i="5"/>
  <c r="H142" i="5"/>
  <c r="H187" i="5"/>
  <c r="H16" i="5"/>
  <c r="H101" i="5"/>
  <c r="H279" i="5"/>
  <c r="H184" i="5"/>
  <c r="H158" i="5"/>
  <c r="H136" i="5"/>
  <c r="H39" i="5"/>
  <c r="H35" i="5"/>
  <c r="H63" i="5"/>
  <c r="H15" i="5"/>
  <c r="H100" i="5"/>
  <c r="H18" i="5"/>
  <c r="H143" i="5"/>
  <c r="H219" i="5"/>
  <c r="H45" i="5"/>
  <c r="H230" i="5"/>
  <c r="H131" i="5"/>
  <c r="A339" i="5"/>
  <c r="A351" i="5"/>
  <c r="A311" i="5"/>
  <c r="A323" i="5"/>
  <c r="A283" i="5"/>
  <c r="A243" i="5"/>
  <c r="A255" i="5"/>
  <c r="A215" i="5"/>
  <c r="A227" i="5"/>
  <c r="A187" i="5"/>
  <c r="A199" i="5"/>
  <c r="A159" i="5"/>
  <c r="A171" i="5"/>
  <c r="A131" i="5"/>
  <c r="A143" i="5"/>
  <c r="A103" i="5"/>
  <c r="A63" i="5"/>
  <c r="A75" i="5"/>
  <c r="A35" i="5"/>
  <c r="A47" i="5"/>
  <c r="A7" i="5"/>
  <c r="A19" i="5"/>
  <c r="H70" i="5"/>
  <c r="H124" i="5"/>
  <c r="H216" i="5"/>
  <c r="H82" i="5"/>
  <c r="H192" i="5"/>
  <c r="H253" i="5"/>
  <c r="H51" i="5"/>
  <c r="H113" i="5"/>
  <c r="H161" i="5"/>
  <c r="A341" i="5"/>
  <c r="A313" i="5"/>
  <c r="A273" i="5"/>
  <c r="A245" i="5"/>
  <c r="A217" i="5"/>
  <c r="A201" i="5"/>
  <c r="A161" i="5"/>
  <c r="A133" i="5"/>
  <c r="A65" i="5"/>
  <c r="A37" i="5"/>
  <c r="A9" i="5"/>
  <c r="A21" i="5"/>
  <c r="H289" i="5"/>
  <c r="A371" i="5"/>
  <c r="A383" i="5"/>
  <c r="H364" i="5"/>
  <c r="H367" i="5"/>
  <c r="H370" i="5"/>
  <c r="H373" i="5"/>
  <c r="H376" i="5"/>
  <c r="H379" i="5"/>
  <c r="H382" i="5"/>
  <c r="H182" i="5"/>
  <c r="H47" i="5"/>
  <c r="H197" i="5"/>
  <c r="H104" i="5"/>
  <c r="H156" i="5"/>
  <c r="H341" i="5"/>
  <c r="H76" i="5"/>
  <c r="H247" i="5"/>
  <c r="H169" i="5"/>
  <c r="H128" i="5"/>
  <c r="H106" i="5"/>
  <c r="H5" i="5"/>
  <c r="H9" i="5"/>
  <c r="H33" i="5"/>
  <c r="H282" i="5"/>
  <c r="H67" i="5"/>
  <c r="H224" i="5"/>
  <c r="H105" i="5"/>
  <c r="H198" i="5"/>
  <c r="H338" i="5"/>
  <c r="H191" i="5"/>
  <c r="H102" i="5"/>
  <c r="A340" i="5"/>
  <c r="A352" i="5"/>
  <c r="A312" i="5"/>
  <c r="A272" i="5"/>
  <c r="A284" i="5"/>
  <c r="A244" i="5"/>
  <c r="A256" i="5"/>
  <c r="A216" i="5"/>
  <c r="A228" i="5"/>
  <c r="A188" i="5"/>
  <c r="A200" i="5"/>
  <c r="A160" i="5"/>
  <c r="A172" i="5"/>
  <c r="A132" i="5"/>
  <c r="A92" i="5"/>
  <c r="A104" i="5"/>
  <c r="A64" i="5"/>
  <c r="A76" i="5"/>
  <c r="A36" i="5"/>
  <c r="A48" i="5"/>
  <c r="A8" i="5"/>
  <c r="A20" i="5"/>
  <c r="H17" i="5"/>
  <c r="H43" i="5"/>
  <c r="A372" i="5"/>
  <c r="E362" i="5"/>
  <c r="E365" i="5"/>
  <c r="E368" i="5"/>
  <c r="E371" i="5"/>
  <c r="E374" i="5"/>
  <c r="E377" i="5"/>
  <c r="E380" i="5"/>
  <c r="E383" i="5"/>
  <c r="H152" i="5"/>
  <c r="A373" i="5"/>
  <c r="F362" i="5"/>
  <c r="F365" i="5"/>
  <c r="F368" i="5"/>
  <c r="F371" i="5"/>
  <c r="F374" i="5"/>
  <c r="F377" i="5"/>
  <c r="F380" i="5"/>
  <c r="F383" i="5"/>
  <c r="H122" i="5"/>
  <c r="H351" i="5"/>
  <c r="H137" i="5"/>
  <c r="H52" i="5"/>
  <c r="H94" i="5"/>
  <c r="H98" i="5"/>
  <c r="H13" i="5"/>
  <c r="H154" i="5"/>
  <c r="H109" i="5"/>
  <c r="H38" i="5"/>
  <c r="H46" i="5"/>
  <c r="H133" i="5"/>
  <c r="H73" i="5"/>
  <c r="H336" i="5"/>
  <c r="H261" i="5"/>
  <c r="H350" i="5"/>
  <c r="H99" i="5"/>
  <c r="H83" i="5"/>
  <c r="H138" i="5"/>
  <c r="H233" i="5"/>
  <c r="H141" i="5"/>
  <c r="H40" i="5"/>
  <c r="A342" i="5"/>
  <c r="A302" i="5"/>
  <c r="A314" i="5"/>
  <c r="A274" i="5"/>
  <c r="A286" i="5"/>
  <c r="A246" i="5"/>
  <c r="A258" i="5"/>
  <c r="A218" i="5"/>
  <c r="A230" i="5"/>
  <c r="A190" i="5"/>
  <c r="A202" i="5"/>
  <c r="A162" i="5"/>
  <c r="A122" i="5"/>
  <c r="A134" i="5"/>
  <c r="A94" i="5"/>
  <c r="A106" i="5"/>
  <c r="A66" i="5"/>
  <c r="A78" i="5"/>
  <c r="A38" i="5"/>
  <c r="A50" i="5"/>
  <c r="A10" i="5"/>
  <c r="A22" i="5"/>
  <c r="A11" i="5"/>
  <c r="A378" i="5"/>
  <c r="G378" i="5"/>
  <c r="H332" i="5"/>
  <c r="H260" i="5"/>
  <c r="H44" i="5"/>
  <c r="H349" i="5"/>
  <c r="H215" i="5"/>
  <c r="H157" i="5"/>
  <c r="H348" i="5"/>
  <c r="A335" i="5"/>
  <c r="A319" i="5"/>
  <c r="A251" i="5"/>
  <c r="A195" i="5"/>
  <c r="A167" i="5"/>
  <c r="A111" i="5"/>
  <c r="A15" i="5"/>
  <c r="H375" i="5"/>
  <c r="H309" i="5"/>
  <c r="H194" i="5"/>
  <c r="H223" i="5"/>
  <c r="H183" i="5"/>
  <c r="H127" i="5"/>
  <c r="A362" i="5"/>
  <c r="A374" i="5"/>
  <c r="G362" i="5"/>
  <c r="G365" i="5"/>
  <c r="G368" i="5"/>
  <c r="G371" i="5"/>
  <c r="G374" i="5"/>
  <c r="G377" i="5"/>
  <c r="G380" i="5"/>
  <c r="G383" i="5"/>
  <c r="H92" i="5"/>
  <c r="H225" i="5"/>
  <c r="H107" i="5"/>
  <c r="H291" i="5"/>
  <c r="H68" i="5"/>
  <c r="H345" i="5"/>
  <c r="H193" i="5"/>
  <c r="H96" i="5"/>
  <c r="H79" i="5"/>
  <c r="H14" i="5"/>
  <c r="H10" i="5"/>
  <c r="H335" i="5"/>
  <c r="H333" i="5"/>
  <c r="H306" i="5"/>
  <c r="H221" i="5"/>
  <c r="H320" i="5"/>
  <c r="H80" i="5"/>
  <c r="H53" i="5"/>
  <c r="H108" i="5"/>
  <c r="H163" i="5"/>
  <c r="H69" i="5"/>
  <c r="H20" i="5"/>
  <c r="A343" i="5"/>
  <c r="A303" i="5"/>
  <c r="A315" i="5"/>
  <c r="A275" i="5"/>
  <c r="A287" i="5"/>
  <c r="A247" i="5"/>
  <c r="A259" i="5"/>
  <c r="A219" i="5"/>
  <c r="A231" i="5"/>
  <c r="A191" i="5"/>
  <c r="A203" i="5"/>
  <c r="A163" i="5"/>
  <c r="A123" i="5"/>
  <c r="A135" i="5"/>
  <c r="A95" i="5"/>
  <c r="A107" i="5"/>
  <c r="A67" i="5"/>
  <c r="A79" i="5"/>
  <c r="A39" i="5"/>
  <c r="A51" i="5"/>
  <c r="A23" i="5"/>
  <c r="G366" i="5"/>
  <c r="H317" i="5"/>
  <c r="H213" i="5"/>
  <c r="H21" i="5"/>
  <c r="A291" i="5"/>
  <c r="A183" i="5"/>
  <c r="A139" i="5"/>
  <c r="A43" i="5"/>
  <c r="H381" i="5"/>
  <c r="H285" i="5"/>
  <c r="H155" i="5"/>
  <c r="A363" i="5"/>
  <c r="A375" i="5"/>
  <c r="H362" i="5"/>
  <c r="H365" i="5"/>
  <c r="H368" i="5"/>
  <c r="H371" i="5"/>
  <c r="H374" i="5"/>
  <c r="H377" i="5"/>
  <c r="H380" i="5"/>
  <c r="H383" i="5"/>
  <c r="H62" i="5"/>
  <c r="H188" i="5"/>
  <c r="H74" i="5"/>
  <c r="H72" i="5"/>
  <c r="H37" i="5"/>
  <c r="H311" i="5"/>
  <c r="H126" i="5"/>
  <c r="H34" i="5"/>
  <c r="H49" i="5"/>
  <c r="H353" i="5"/>
  <c r="H352" i="5"/>
  <c r="H308" i="5"/>
  <c r="H303" i="5"/>
  <c r="H276" i="5"/>
  <c r="H159" i="5"/>
  <c r="H248" i="5"/>
  <c r="H322" i="5"/>
  <c r="H23" i="5"/>
  <c r="H78" i="5"/>
  <c r="H135" i="5"/>
  <c r="H7" i="5"/>
  <c r="H164" i="5"/>
  <c r="A344" i="5"/>
  <c r="A304" i="5"/>
  <c r="A316" i="5"/>
  <c r="A276" i="5"/>
  <c r="A288" i="5"/>
  <c r="A248" i="5"/>
  <c r="A260" i="5"/>
  <c r="A220" i="5"/>
  <c r="A232" i="5"/>
  <c r="A192" i="5"/>
  <c r="A152" i="5"/>
  <c r="A164" i="5"/>
  <c r="A124" i="5"/>
  <c r="A136" i="5"/>
  <c r="A96" i="5"/>
  <c r="A108" i="5"/>
  <c r="A68" i="5"/>
  <c r="A80" i="5"/>
  <c r="A40" i="5"/>
  <c r="A52" i="5"/>
  <c r="A12" i="5"/>
  <c r="A332" i="5"/>
  <c r="A2" i="5"/>
  <c r="G363" i="5"/>
  <c r="G375" i="5"/>
  <c r="G381" i="5"/>
  <c r="H339" i="5"/>
  <c r="H307" i="5"/>
  <c r="H231" i="5"/>
  <c r="H274" i="5"/>
  <c r="H256" i="5"/>
  <c r="H186" i="5"/>
  <c r="H255" i="5"/>
  <c r="H251" i="5"/>
  <c r="A347" i="5"/>
  <c r="A279" i="5"/>
  <c r="A263" i="5"/>
  <c r="A155" i="5"/>
  <c r="A127" i="5"/>
  <c r="A71" i="5"/>
  <c r="A3" i="5"/>
  <c r="H372" i="5"/>
  <c r="H202" i="5"/>
  <c r="H8" i="5"/>
  <c r="H313" i="5"/>
  <c r="H185" i="5"/>
  <c r="H189" i="5"/>
  <c r="A364" i="5"/>
  <c r="A376" i="5"/>
  <c r="E363" i="5"/>
  <c r="E366" i="5"/>
  <c r="E369" i="5"/>
  <c r="E372" i="5"/>
  <c r="E375" i="5"/>
  <c r="E378" i="5"/>
  <c r="E381" i="5"/>
  <c r="H132" i="5"/>
  <c r="H32" i="5"/>
  <c r="H172" i="5"/>
  <c r="H11" i="5"/>
  <c r="H41" i="5"/>
  <c r="H4" i="5"/>
  <c r="H281" i="5"/>
  <c r="H103" i="5"/>
  <c r="H19" i="5"/>
  <c r="H343" i="5"/>
  <c r="H323" i="5"/>
  <c r="H305" i="5"/>
  <c r="H280" i="5"/>
  <c r="H273" i="5"/>
  <c r="H258" i="5"/>
  <c r="H129" i="5"/>
  <c r="H217" i="5"/>
  <c r="H286" i="5"/>
  <c r="H342" i="5"/>
  <c r="H48" i="5"/>
  <c r="H111" i="5"/>
  <c r="H12" i="5"/>
  <c r="A333" i="5"/>
  <c r="A345" i="5"/>
  <c r="A305" i="5"/>
  <c r="A317" i="5"/>
  <c r="A277" i="5"/>
  <c r="A289" i="5"/>
  <c r="A249" i="5"/>
  <c r="A261" i="5"/>
  <c r="A221" i="5"/>
  <c r="A233" i="5"/>
  <c r="A193" i="5"/>
  <c r="A153" i="5"/>
  <c r="A165" i="5"/>
  <c r="A125" i="5"/>
  <c r="A137" i="5"/>
  <c r="A97" i="5"/>
  <c r="A109" i="5"/>
  <c r="A69" i="5"/>
  <c r="A81" i="5"/>
  <c r="A41" i="5"/>
  <c r="A53" i="5"/>
  <c r="A13" i="5"/>
  <c r="G372" i="5"/>
  <c r="H278" i="5"/>
  <c r="A83" i="5"/>
  <c r="H302" i="5"/>
  <c r="A365" i="5"/>
  <c r="A377" i="5"/>
  <c r="F363" i="5"/>
  <c r="F366" i="5"/>
  <c r="F369" i="5"/>
  <c r="F372" i="5"/>
  <c r="F375" i="5"/>
  <c r="F378" i="5"/>
  <c r="F381" i="5"/>
  <c r="H22" i="5"/>
  <c r="H2" i="5"/>
  <c r="H347" i="5"/>
  <c r="H262" i="5"/>
  <c r="H337" i="5"/>
  <c r="H321" i="5"/>
  <c r="H254" i="5"/>
  <c r="H64" i="5"/>
  <c r="H319" i="5"/>
  <c r="H190" i="5"/>
  <c r="H293" i="5"/>
  <c r="H275" i="5"/>
  <c r="H245" i="5"/>
  <c r="H243" i="5"/>
  <c r="H229" i="5"/>
  <c r="H71" i="5"/>
  <c r="H199" i="5"/>
  <c r="H292" i="5"/>
  <c r="H312" i="5"/>
  <c r="H3" i="5"/>
  <c r="H42" i="5"/>
  <c r="H290" i="5"/>
  <c r="A334" i="5"/>
  <c r="A346" i="5"/>
  <c r="A306" i="5"/>
  <c r="A318" i="5"/>
  <c r="A278" i="5"/>
  <c r="A290" i="5"/>
  <c r="A250" i="5"/>
  <c r="A262" i="5"/>
  <c r="A222" i="5"/>
  <c r="A182" i="5"/>
  <c r="A194" i="5"/>
  <c r="A154" i="5"/>
  <c r="A166" i="5"/>
  <c r="A126" i="5"/>
  <c r="A138" i="5"/>
  <c r="A98" i="5"/>
  <c r="A110" i="5"/>
  <c r="A70" i="5"/>
  <c r="A82" i="5"/>
  <c r="A42" i="5"/>
  <c r="A14" i="5"/>
  <c r="G369" i="5"/>
  <c r="H112" i="5"/>
  <c r="H226" i="5"/>
  <c r="H340" i="5"/>
  <c r="A307" i="5"/>
  <c r="A223" i="5"/>
  <c r="A99" i="5"/>
  <c r="H378" i="5"/>
  <c r="H277" i="5"/>
  <c r="H153" i="5"/>
  <c r="H263" i="5"/>
  <c r="A366" i="5"/>
  <c r="A367" i="5"/>
  <c r="A379" i="5"/>
  <c r="H363" i="5"/>
  <c r="H366" i="5"/>
  <c r="H369" i="5"/>
  <c r="A368" i="5"/>
  <c r="A369" i="5"/>
  <c r="A381" i="5"/>
  <c r="F364" i="5"/>
  <c r="F367" i="5"/>
  <c r="F370" i="5"/>
  <c r="F373" i="5"/>
  <c r="F376" i="5"/>
  <c r="F379" i="5"/>
  <c r="F382" i="5"/>
  <c r="H242" i="5"/>
  <c r="H218" i="5"/>
  <c r="H257" i="5"/>
  <c r="H283" i="5"/>
  <c r="H214" i="5"/>
  <c r="H130" i="5"/>
  <c r="H134" i="5"/>
  <c r="H304" i="5"/>
  <c r="H228" i="5"/>
  <c r="H232" i="5"/>
  <c r="H166" i="5"/>
  <c r="H65" i="5"/>
  <c r="H97" i="5"/>
  <c r="H93" i="5"/>
  <c r="H346" i="5"/>
  <c r="H140" i="5"/>
  <c r="H36" i="5"/>
  <c r="H173" i="5"/>
  <c r="H246" i="5"/>
  <c r="H81" i="5"/>
  <c r="H284" i="5"/>
  <c r="H171" i="5"/>
  <c r="A338" i="5"/>
  <c r="A350" i="5"/>
  <c r="A310" i="5"/>
  <c r="A322" i="5"/>
  <c r="A282" i="5"/>
  <c r="A242" i="5"/>
  <c r="A254" i="5"/>
  <c r="A214" i="5"/>
  <c r="A226" i="5"/>
  <c r="A186" i="5"/>
  <c r="A198" i="5"/>
  <c r="A158" i="5"/>
  <c r="A170" i="5"/>
  <c r="A130" i="5"/>
  <c r="A142" i="5"/>
  <c r="A102" i="5"/>
  <c r="A62" i="5"/>
  <c r="A74" i="5"/>
  <c r="A34" i="5"/>
  <c r="A46" i="5"/>
  <c r="A6" i="5"/>
  <c r="A18" i="5"/>
  <c r="H167" i="5"/>
  <c r="H160" i="5"/>
  <c r="H139" i="5"/>
  <c r="H66" i="5"/>
  <c r="H165" i="5"/>
  <c r="H50" i="5"/>
  <c r="H203" i="5"/>
  <c r="H168" i="5"/>
  <c r="H316" i="5"/>
  <c r="H75" i="5"/>
  <c r="A353" i="5"/>
  <c r="A285" i="5"/>
  <c r="A257" i="5"/>
  <c r="A229" i="5"/>
  <c r="A189" i="5"/>
  <c r="A173" i="5"/>
  <c r="A93" i="5"/>
  <c r="A105" i="5"/>
  <c r="A77" i="5"/>
  <c r="A49" i="5"/>
  <c r="H220" i="5"/>
  <c r="A380" i="5"/>
  <c r="H244" i="5"/>
  <c r="H110" i="5"/>
  <c r="A348" i="5"/>
  <c r="A212" i="5"/>
  <c r="A128" i="5"/>
  <c r="A44" i="5"/>
  <c r="A140" i="5"/>
  <c r="H249" i="5"/>
  <c r="A281" i="5"/>
  <c r="E364" i="5"/>
  <c r="H200" i="5"/>
  <c r="H201" i="5"/>
  <c r="A349" i="5"/>
  <c r="A213" i="5"/>
  <c r="A129" i="5"/>
  <c r="A45" i="5"/>
  <c r="A100" i="5"/>
  <c r="A101" i="5"/>
  <c r="A292" i="5"/>
  <c r="H123" i="5"/>
  <c r="A252" i="5"/>
  <c r="E367" i="5"/>
  <c r="H162" i="5"/>
  <c r="H318" i="5"/>
  <c r="A308" i="5"/>
  <c r="A224" i="5"/>
  <c r="A4" i="5"/>
  <c r="A185" i="5"/>
  <c r="A197" i="5"/>
  <c r="A293" i="5"/>
  <c r="E370" i="5"/>
  <c r="H334" i="5"/>
  <c r="H288" i="5"/>
  <c r="A309" i="5"/>
  <c r="A225" i="5"/>
  <c r="A141" i="5"/>
  <c r="A5" i="5"/>
  <c r="A320" i="5"/>
  <c r="A321" i="5"/>
  <c r="A113" i="5"/>
  <c r="A157" i="5"/>
  <c r="E373" i="5"/>
  <c r="H259" i="5"/>
  <c r="H310" i="5"/>
  <c r="A184" i="5"/>
  <c r="A16" i="5"/>
  <c r="A17" i="5"/>
  <c r="A156" i="5"/>
  <c r="H250" i="5"/>
  <c r="A336" i="5"/>
  <c r="E376" i="5"/>
  <c r="H252" i="5"/>
  <c r="H125" i="5"/>
  <c r="A168" i="5"/>
  <c r="E379" i="5"/>
  <c r="H196" i="5"/>
  <c r="H344" i="5"/>
  <c r="A280" i="5"/>
  <c r="A196" i="5"/>
  <c r="A112" i="5"/>
  <c r="H314" i="5"/>
  <c r="H222" i="5"/>
  <c r="A73" i="5"/>
  <c r="H6" i="5"/>
  <c r="E382" i="5"/>
  <c r="H95" i="5"/>
  <c r="H195" i="5"/>
  <c r="H287" i="5"/>
  <c r="H272" i="5"/>
  <c r="A72" i="5"/>
  <c r="A32" i="5"/>
  <c r="H315" i="5"/>
  <c r="H170" i="5"/>
  <c r="A337" i="5"/>
  <c r="A253" i="5"/>
  <c r="A169" i="5"/>
  <c r="A33" i="5"/>
  <c r="F22" i="5"/>
  <c r="E19" i="5"/>
  <c r="G17" i="5"/>
  <c r="F14" i="5"/>
  <c r="E11" i="5"/>
  <c r="G9" i="5"/>
  <c r="F6" i="5"/>
  <c r="E3" i="5"/>
  <c r="G53" i="5"/>
  <c r="F50" i="5"/>
  <c r="E47" i="5"/>
  <c r="G45" i="5"/>
  <c r="F42" i="5"/>
  <c r="E39" i="5"/>
  <c r="G37" i="5"/>
  <c r="F34" i="5"/>
  <c r="E83" i="5"/>
  <c r="G81" i="5"/>
  <c r="F78" i="5"/>
  <c r="E75" i="5"/>
  <c r="G73" i="5"/>
  <c r="F70" i="5"/>
  <c r="E67" i="5"/>
  <c r="G65" i="5"/>
  <c r="F62" i="5"/>
  <c r="E111" i="5"/>
  <c r="G109" i="5"/>
  <c r="F106" i="5"/>
  <c r="E103" i="5"/>
  <c r="G101" i="5"/>
  <c r="F98" i="5"/>
  <c r="E95" i="5"/>
  <c r="G93" i="5"/>
  <c r="F142" i="5"/>
  <c r="E139" i="5"/>
  <c r="G137" i="5"/>
  <c r="F134" i="5"/>
  <c r="E131" i="5"/>
  <c r="G129" i="5"/>
  <c r="F126" i="5"/>
  <c r="E123" i="5"/>
  <c r="G173" i="5"/>
  <c r="F170" i="5"/>
  <c r="E167" i="5"/>
  <c r="G165" i="5"/>
  <c r="F162" i="5"/>
  <c r="E159" i="5"/>
  <c r="G157" i="5"/>
  <c r="F154" i="5"/>
  <c r="E203" i="5"/>
  <c r="G201" i="5"/>
  <c r="F198" i="5"/>
  <c r="E195" i="5"/>
  <c r="G193" i="5"/>
  <c r="F190" i="5"/>
  <c r="E187" i="5"/>
  <c r="G185" i="5"/>
  <c r="F182" i="5"/>
  <c r="E231" i="5"/>
  <c r="G229" i="5"/>
  <c r="F226" i="5"/>
  <c r="E223" i="5"/>
  <c r="G221" i="5"/>
  <c r="F218" i="5"/>
  <c r="E215" i="5"/>
  <c r="G213" i="5"/>
  <c r="F262" i="5"/>
  <c r="E259" i="5"/>
  <c r="G257" i="5"/>
  <c r="F254" i="5"/>
  <c r="E251" i="5"/>
  <c r="G249" i="5"/>
  <c r="F246" i="5"/>
  <c r="E243" i="5"/>
  <c r="E22" i="5"/>
  <c r="G20" i="5"/>
  <c r="F17" i="5"/>
  <c r="E14" i="5"/>
  <c r="G12" i="5"/>
  <c r="F9" i="5"/>
  <c r="E6" i="5"/>
  <c r="G4" i="5"/>
  <c r="F53" i="5"/>
  <c r="E50" i="5"/>
  <c r="G48" i="5"/>
  <c r="F45" i="5"/>
  <c r="E42" i="5"/>
  <c r="G40" i="5"/>
  <c r="F37" i="5"/>
  <c r="E34" i="5"/>
  <c r="G32" i="5"/>
  <c r="F81" i="5"/>
  <c r="E78" i="5"/>
  <c r="G76" i="5"/>
  <c r="F73" i="5"/>
  <c r="E70" i="5"/>
  <c r="G68" i="5"/>
  <c r="F65" i="5"/>
  <c r="E62" i="5"/>
  <c r="G112" i="5"/>
  <c r="F109" i="5"/>
  <c r="E106" i="5"/>
  <c r="G104" i="5"/>
  <c r="F101" i="5"/>
  <c r="E98" i="5"/>
  <c r="G96" i="5"/>
  <c r="F93" i="5"/>
  <c r="E142" i="5"/>
  <c r="G140" i="5"/>
  <c r="F137" i="5"/>
  <c r="E134" i="5"/>
  <c r="G132" i="5"/>
  <c r="F129" i="5"/>
  <c r="E126" i="5"/>
  <c r="G124" i="5"/>
  <c r="F173" i="5"/>
  <c r="E170" i="5"/>
  <c r="G168" i="5"/>
  <c r="F165" i="5"/>
  <c r="E162" i="5"/>
  <c r="G160" i="5"/>
  <c r="F157" i="5"/>
  <c r="E154" i="5"/>
  <c r="G152" i="5"/>
  <c r="F201" i="5"/>
  <c r="E198" i="5"/>
  <c r="G196" i="5"/>
  <c r="F193" i="5"/>
  <c r="E190" i="5"/>
  <c r="G188" i="5"/>
  <c r="F185" i="5"/>
  <c r="E182" i="5"/>
  <c r="G232" i="5"/>
  <c r="F229" i="5"/>
  <c r="E226" i="5"/>
  <c r="G224" i="5"/>
  <c r="F221" i="5"/>
  <c r="E218" i="5"/>
  <c r="G216" i="5"/>
  <c r="F213" i="5"/>
  <c r="E262" i="5"/>
  <c r="G260" i="5"/>
  <c r="F257" i="5"/>
  <c r="E254" i="5"/>
  <c r="G252" i="5"/>
  <c r="F249" i="5"/>
  <c r="E246" i="5"/>
  <c r="G23" i="5"/>
  <c r="F20" i="5"/>
  <c r="E17" i="5"/>
  <c r="G15" i="5"/>
  <c r="F12" i="5"/>
  <c r="E9" i="5"/>
  <c r="G7" i="5"/>
  <c r="F4" i="5"/>
  <c r="E53" i="5"/>
  <c r="G51" i="5"/>
  <c r="F48" i="5"/>
  <c r="E45" i="5"/>
  <c r="G43" i="5"/>
  <c r="F40" i="5"/>
  <c r="E37" i="5"/>
  <c r="G35" i="5"/>
  <c r="F32" i="5"/>
  <c r="E81" i="5"/>
  <c r="G79" i="5"/>
  <c r="F76" i="5"/>
  <c r="E73" i="5"/>
  <c r="G71" i="5"/>
  <c r="F68" i="5"/>
  <c r="E65" i="5"/>
  <c r="G63" i="5"/>
  <c r="F112" i="5"/>
  <c r="E109" i="5"/>
  <c r="G107" i="5"/>
  <c r="F104" i="5"/>
  <c r="E101" i="5"/>
  <c r="G99" i="5"/>
  <c r="F96" i="5"/>
  <c r="E93" i="5"/>
  <c r="G143" i="5"/>
  <c r="F140" i="5"/>
  <c r="E137" i="5"/>
  <c r="G135" i="5"/>
  <c r="F132" i="5"/>
  <c r="E129" i="5"/>
  <c r="G127" i="5"/>
  <c r="F124" i="5"/>
  <c r="E173" i="5"/>
  <c r="G171" i="5"/>
  <c r="F168" i="5"/>
  <c r="E165" i="5"/>
  <c r="G163" i="5"/>
  <c r="F160" i="5"/>
  <c r="E157" i="5"/>
  <c r="G155" i="5"/>
  <c r="F152" i="5"/>
  <c r="E201" i="5"/>
  <c r="G199" i="5"/>
  <c r="F196" i="5"/>
  <c r="E193" i="5"/>
  <c r="G191" i="5"/>
  <c r="F188" i="5"/>
  <c r="E185" i="5"/>
  <c r="G183" i="5"/>
  <c r="F232" i="5"/>
  <c r="E229" i="5"/>
  <c r="G227" i="5"/>
  <c r="F224" i="5"/>
  <c r="E221" i="5"/>
  <c r="G219" i="5"/>
  <c r="F216" i="5"/>
  <c r="E213" i="5"/>
  <c r="G263" i="5"/>
  <c r="F260" i="5"/>
  <c r="E257" i="5"/>
  <c r="G255" i="5"/>
  <c r="F252" i="5"/>
  <c r="E249" i="5"/>
  <c r="G247" i="5"/>
  <c r="F244" i="5"/>
  <c r="G22" i="5"/>
  <c r="F15" i="5"/>
  <c r="E13" i="5"/>
  <c r="G8" i="5"/>
  <c r="G6" i="5"/>
  <c r="F51" i="5"/>
  <c r="E49" i="5"/>
  <c r="G44" i="5"/>
  <c r="G42" i="5"/>
  <c r="F35" i="5"/>
  <c r="E33" i="5"/>
  <c r="G80" i="5"/>
  <c r="G78" i="5"/>
  <c r="F71" i="5"/>
  <c r="E69" i="5"/>
  <c r="G64" i="5"/>
  <c r="G62" i="5"/>
  <c r="F107" i="5"/>
  <c r="E105" i="5"/>
  <c r="G100" i="5"/>
  <c r="G98" i="5"/>
  <c r="F143" i="5"/>
  <c r="E141" i="5"/>
  <c r="G136" i="5"/>
  <c r="G134" i="5"/>
  <c r="F127" i="5"/>
  <c r="E125" i="5"/>
  <c r="G172" i="5"/>
  <c r="G170" i="5"/>
  <c r="F163" i="5"/>
  <c r="E161" i="5"/>
  <c r="G156" i="5"/>
  <c r="G154" i="5"/>
  <c r="F199" i="5"/>
  <c r="E197" i="5"/>
  <c r="G192" i="5"/>
  <c r="G190" i="5"/>
  <c r="F183" i="5"/>
  <c r="E233" i="5"/>
  <c r="G228" i="5"/>
  <c r="G226" i="5"/>
  <c r="F219" i="5"/>
  <c r="E217" i="5"/>
  <c r="G212" i="5"/>
  <c r="G262" i="5"/>
  <c r="F255" i="5"/>
  <c r="E253" i="5"/>
  <c r="G248" i="5"/>
  <c r="G246" i="5"/>
  <c r="E244" i="5"/>
  <c r="F242" i="5"/>
  <c r="E291" i="5"/>
  <c r="G289" i="5"/>
  <c r="F286" i="5"/>
  <c r="E283" i="5"/>
  <c r="G281" i="5"/>
  <c r="F278" i="5"/>
  <c r="E275" i="5"/>
  <c r="G273" i="5"/>
  <c r="F322" i="5"/>
  <c r="E319" i="5"/>
  <c r="G317" i="5"/>
  <c r="F314" i="5"/>
  <c r="E311" i="5"/>
  <c r="G309" i="5"/>
  <c r="F306" i="5"/>
  <c r="E303" i="5"/>
  <c r="G353" i="5"/>
  <c r="F350" i="5"/>
  <c r="E347" i="5"/>
  <c r="G345" i="5"/>
  <c r="F342" i="5"/>
  <c r="E339" i="5"/>
  <c r="A17" i="1" s="1"/>
  <c r="G337" i="5"/>
  <c r="F334" i="5"/>
  <c r="E15" i="5"/>
  <c r="G10" i="5"/>
  <c r="F8" i="5"/>
  <c r="E51" i="5"/>
  <c r="G46" i="5"/>
  <c r="F44" i="5"/>
  <c r="E35" i="5"/>
  <c r="G82" i="5"/>
  <c r="F80" i="5"/>
  <c r="E71" i="5"/>
  <c r="G66" i="5"/>
  <c r="F64" i="5"/>
  <c r="E107" i="5"/>
  <c r="G102" i="5"/>
  <c r="F100" i="5"/>
  <c r="E143" i="5"/>
  <c r="G138" i="5"/>
  <c r="F136" i="5"/>
  <c r="E127" i="5"/>
  <c r="G122" i="5"/>
  <c r="F172" i="5"/>
  <c r="E163" i="5"/>
  <c r="G158" i="5"/>
  <c r="F156" i="5"/>
  <c r="E199" i="5"/>
  <c r="G194" i="5"/>
  <c r="F192" i="5"/>
  <c r="E183" i="5"/>
  <c r="G230" i="5"/>
  <c r="F228" i="5"/>
  <c r="E219" i="5"/>
  <c r="G214" i="5"/>
  <c r="F212" i="5"/>
  <c r="E255" i="5"/>
  <c r="G250" i="5"/>
  <c r="F248" i="5"/>
  <c r="E242" i="5"/>
  <c r="G292" i="5"/>
  <c r="F289" i="5"/>
  <c r="E286" i="5"/>
  <c r="G284" i="5"/>
  <c r="F281" i="5"/>
  <c r="E278" i="5"/>
  <c r="G276" i="5"/>
  <c r="F273" i="5"/>
  <c r="E322" i="5"/>
  <c r="G320" i="5"/>
  <c r="F317" i="5"/>
  <c r="E314" i="5"/>
  <c r="G312" i="5"/>
  <c r="F309" i="5"/>
  <c r="E306" i="5"/>
  <c r="G304" i="5"/>
  <c r="F353" i="5"/>
  <c r="E350" i="5"/>
  <c r="G348" i="5"/>
  <c r="F345" i="5"/>
  <c r="E342" i="5"/>
  <c r="G340" i="5"/>
  <c r="F337" i="5"/>
  <c r="E334" i="5"/>
  <c r="G332" i="5"/>
  <c r="E345" i="5"/>
  <c r="F340" i="5"/>
  <c r="E337" i="5"/>
  <c r="F21" i="5"/>
  <c r="G21" i="5"/>
  <c r="G19" i="5"/>
  <c r="F10" i="5"/>
  <c r="E8" i="5"/>
  <c r="G5" i="5"/>
  <c r="G3" i="5"/>
  <c r="F46" i="5"/>
  <c r="E44" i="5"/>
  <c r="G41" i="5"/>
  <c r="G39" i="5"/>
  <c r="F82" i="5"/>
  <c r="E80" i="5"/>
  <c r="G77" i="5"/>
  <c r="G75" i="5"/>
  <c r="F66" i="5"/>
  <c r="E64" i="5"/>
  <c r="G113" i="5"/>
  <c r="G111" i="5"/>
  <c r="F102" i="5"/>
  <c r="E100" i="5"/>
  <c r="G97" i="5"/>
  <c r="G95" i="5"/>
  <c r="F138" i="5"/>
  <c r="E136" i="5"/>
  <c r="G133" i="5"/>
  <c r="G131" i="5"/>
  <c r="F122" i="5"/>
  <c r="E172" i="5"/>
  <c r="G169" i="5"/>
  <c r="G167" i="5"/>
  <c r="F158" i="5"/>
  <c r="E156" i="5"/>
  <c r="G153" i="5"/>
  <c r="G203" i="5"/>
  <c r="F194" i="5"/>
  <c r="E192" i="5"/>
  <c r="G189" i="5"/>
  <c r="G187" i="5"/>
  <c r="F230" i="5"/>
  <c r="E228" i="5"/>
  <c r="G225" i="5"/>
  <c r="G223" i="5"/>
  <c r="F214" i="5"/>
  <c r="E212" i="5"/>
  <c r="G261" i="5"/>
  <c r="G259" i="5"/>
  <c r="F250" i="5"/>
  <c r="E248" i="5"/>
  <c r="G245" i="5"/>
  <c r="F292" i="5"/>
  <c r="E289" i="5"/>
  <c r="G287" i="5"/>
  <c r="F284" i="5"/>
  <c r="E281" i="5"/>
  <c r="G279" i="5"/>
  <c r="F276" i="5"/>
  <c r="E273" i="5"/>
  <c r="G323" i="5"/>
  <c r="F320" i="5"/>
  <c r="E317" i="5"/>
  <c r="G315" i="5"/>
  <c r="F312" i="5"/>
  <c r="E309" i="5"/>
  <c r="G307" i="5"/>
  <c r="F304" i="5"/>
  <c r="E353" i="5"/>
  <c r="G351" i="5"/>
  <c r="F348" i="5"/>
  <c r="G343" i="5"/>
  <c r="G335" i="5"/>
  <c r="F332" i="5"/>
  <c r="F19" i="5"/>
  <c r="G13" i="5"/>
  <c r="E7" i="5"/>
  <c r="E4" i="5"/>
  <c r="G49" i="5"/>
  <c r="E43" i="5"/>
  <c r="E40" i="5"/>
  <c r="G33" i="5"/>
  <c r="E79" i="5"/>
  <c r="E76" i="5"/>
  <c r="G69" i="5"/>
  <c r="E63" i="5"/>
  <c r="E112" i="5"/>
  <c r="G105" i="5"/>
  <c r="E99" i="5"/>
  <c r="E96" i="5"/>
  <c r="G141" i="5"/>
  <c r="E135" i="5"/>
  <c r="E132" i="5"/>
  <c r="G125" i="5"/>
  <c r="E171" i="5"/>
  <c r="E168" i="5"/>
  <c r="G161" i="5"/>
  <c r="E155" i="5"/>
  <c r="E152" i="5"/>
  <c r="G197" i="5"/>
  <c r="E191" i="5"/>
  <c r="E188" i="5"/>
  <c r="G233" i="5"/>
  <c r="E227" i="5"/>
  <c r="E224" i="5"/>
  <c r="G217" i="5"/>
  <c r="E263" i="5"/>
  <c r="E260" i="5"/>
  <c r="G253" i="5"/>
  <c r="E247" i="5"/>
  <c r="G244" i="5"/>
  <c r="G293" i="5"/>
  <c r="G291" i="5"/>
  <c r="F282" i="5"/>
  <c r="E280" i="5"/>
  <c r="G277" i="5"/>
  <c r="G275" i="5"/>
  <c r="F318" i="5"/>
  <c r="E316" i="5"/>
  <c r="G313" i="5"/>
  <c r="G311" i="5"/>
  <c r="F302" i="5"/>
  <c r="E352" i="5"/>
  <c r="G349" i="5"/>
  <c r="G347" i="5"/>
  <c r="F338" i="5"/>
  <c r="E336" i="5"/>
  <c r="G333" i="5"/>
  <c r="E48" i="5"/>
  <c r="G310" i="5"/>
  <c r="E335" i="5"/>
  <c r="G2" i="5"/>
  <c r="G38" i="5"/>
  <c r="G74" i="5"/>
  <c r="F113" i="5"/>
  <c r="G130" i="5"/>
  <c r="F169" i="5"/>
  <c r="F153" i="5"/>
  <c r="G258" i="5"/>
  <c r="F245" i="5"/>
  <c r="G285" i="5"/>
  <c r="G321" i="5"/>
  <c r="G305" i="5"/>
  <c r="G341" i="5"/>
  <c r="F74" i="5"/>
  <c r="E97" i="5"/>
  <c r="F130" i="5"/>
  <c r="F23" i="5"/>
  <c r="E20" i="5"/>
  <c r="G16" i="5"/>
  <c r="F13" i="5"/>
  <c r="E10" i="5"/>
  <c r="G52" i="5"/>
  <c r="F49" i="5"/>
  <c r="E46" i="5"/>
  <c r="G36" i="5"/>
  <c r="F33" i="5"/>
  <c r="E82" i="5"/>
  <c r="G72" i="5"/>
  <c r="F69" i="5"/>
  <c r="E66" i="5"/>
  <c r="G108" i="5"/>
  <c r="F105" i="5"/>
  <c r="E102" i="5"/>
  <c r="G92" i="5"/>
  <c r="F141" i="5"/>
  <c r="E138" i="5"/>
  <c r="G128" i="5"/>
  <c r="F125" i="5"/>
  <c r="E122" i="5"/>
  <c r="G164" i="5"/>
  <c r="F161" i="5"/>
  <c r="E158" i="5"/>
  <c r="G200" i="5"/>
  <c r="F197" i="5"/>
  <c r="E194" i="5"/>
  <c r="G184" i="5"/>
  <c r="F233" i="5"/>
  <c r="E230" i="5"/>
  <c r="G220" i="5"/>
  <c r="F217" i="5"/>
  <c r="E214" i="5"/>
  <c r="G256" i="5"/>
  <c r="F253" i="5"/>
  <c r="E250" i="5"/>
  <c r="F293" i="5"/>
  <c r="F291" i="5"/>
  <c r="E284" i="5"/>
  <c r="E282" i="5"/>
  <c r="F277" i="5"/>
  <c r="F275" i="5"/>
  <c r="E320" i="5"/>
  <c r="E318" i="5"/>
  <c r="F313" i="5"/>
  <c r="F311" i="5"/>
  <c r="E304" i="5"/>
  <c r="E302" i="5"/>
  <c r="F349" i="5"/>
  <c r="F347" i="5"/>
  <c r="E340" i="5"/>
  <c r="E338" i="5"/>
  <c r="F333" i="5"/>
  <c r="E12" i="5"/>
  <c r="E36" i="5"/>
  <c r="E72" i="5"/>
  <c r="E108" i="5"/>
  <c r="E92" i="5"/>
  <c r="E128" i="5"/>
  <c r="E160" i="5"/>
  <c r="E200" i="5"/>
  <c r="E232" i="5"/>
  <c r="E220" i="5"/>
  <c r="E252" i="5"/>
  <c r="F288" i="5"/>
  <c r="E279" i="5"/>
  <c r="G274" i="5"/>
  <c r="E315" i="5"/>
  <c r="F308" i="5"/>
  <c r="G346" i="5"/>
  <c r="G18" i="5"/>
  <c r="F41" i="5"/>
  <c r="G110" i="5"/>
  <c r="F97" i="5"/>
  <c r="G202" i="5"/>
  <c r="F189" i="5"/>
  <c r="G222" i="5"/>
  <c r="F261" i="5"/>
  <c r="F290" i="5"/>
  <c r="G283" i="5"/>
  <c r="F274" i="5"/>
  <c r="G319" i="5"/>
  <c r="F310" i="5"/>
  <c r="G303" i="5"/>
  <c r="F346" i="5"/>
  <c r="G339" i="5"/>
  <c r="F18" i="5"/>
  <c r="F2" i="5"/>
  <c r="F38" i="5"/>
  <c r="E113" i="5"/>
  <c r="F94" i="5"/>
  <c r="E23" i="5"/>
  <c r="F16" i="5"/>
  <c r="F3" i="5"/>
  <c r="F52" i="5"/>
  <c r="F39" i="5"/>
  <c r="F36" i="5"/>
  <c r="F75" i="5"/>
  <c r="F72" i="5"/>
  <c r="F111" i="5"/>
  <c r="F108" i="5"/>
  <c r="F95" i="5"/>
  <c r="F92" i="5"/>
  <c r="F131" i="5"/>
  <c r="F128" i="5"/>
  <c r="F167" i="5"/>
  <c r="F164" i="5"/>
  <c r="F203" i="5"/>
  <c r="F200" i="5"/>
  <c r="F187" i="5"/>
  <c r="F184" i="5"/>
  <c r="F223" i="5"/>
  <c r="F220" i="5"/>
  <c r="F259" i="5"/>
  <c r="F256" i="5"/>
  <c r="G243" i="5"/>
  <c r="E293" i="5"/>
  <c r="G288" i="5"/>
  <c r="G286" i="5"/>
  <c r="F279" i="5"/>
  <c r="E277" i="5"/>
  <c r="G272" i="5"/>
  <c r="G322" i="5"/>
  <c r="F315" i="5"/>
  <c r="E313" i="5"/>
  <c r="G308" i="5"/>
  <c r="G306" i="5"/>
  <c r="F351" i="5"/>
  <c r="E349" i="5"/>
  <c r="G344" i="5"/>
  <c r="G342" i="5"/>
  <c r="F335" i="5"/>
  <c r="E333" i="5"/>
  <c r="E16" i="5"/>
  <c r="E52" i="5"/>
  <c r="E32" i="5"/>
  <c r="E68" i="5"/>
  <c r="E104" i="5"/>
  <c r="E140" i="5"/>
  <c r="E124" i="5"/>
  <c r="E164" i="5"/>
  <c r="E196" i="5"/>
  <c r="E184" i="5"/>
  <c r="E216" i="5"/>
  <c r="E256" i="5"/>
  <c r="F243" i="5"/>
  <c r="G290" i="5"/>
  <c r="F272" i="5"/>
  <c r="E351" i="5"/>
  <c r="F344" i="5"/>
  <c r="F5" i="5"/>
  <c r="F77" i="5"/>
  <c r="G94" i="5"/>
  <c r="F133" i="5"/>
  <c r="G166" i="5"/>
  <c r="G186" i="5"/>
  <c r="F225" i="5"/>
  <c r="E288" i="5"/>
  <c r="E272" i="5"/>
  <c r="E308" i="5"/>
  <c r="E344" i="5"/>
  <c r="E5" i="5"/>
  <c r="E41" i="5"/>
  <c r="E77" i="5"/>
  <c r="F110" i="5"/>
  <c r="E133" i="5"/>
  <c r="E38" i="5"/>
  <c r="F67" i="5"/>
  <c r="E130" i="5"/>
  <c r="E166" i="5"/>
  <c r="E202" i="5"/>
  <c r="E186" i="5"/>
  <c r="E222" i="5"/>
  <c r="E258" i="5"/>
  <c r="E285" i="5"/>
  <c r="E276" i="5"/>
  <c r="F316" i="5"/>
  <c r="E307" i="5"/>
  <c r="F303" i="5"/>
  <c r="E346" i="5"/>
  <c r="G338" i="5"/>
  <c r="F287" i="5"/>
  <c r="E287" i="5"/>
  <c r="F352" i="5"/>
  <c r="F166" i="5"/>
  <c r="F285" i="5"/>
  <c r="G14" i="5"/>
  <c r="F43" i="5"/>
  <c r="G83" i="5"/>
  <c r="G106" i="5"/>
  <c r="F135" i="5"/>
  <c r="G123" i="5"/>
  <c r="G159" i="5"/>
  <c r="G195" i="5"/>
  <c r="G231" i="5"/>
  <c r="G215" i="5"/>
  <c r="G251" i="5"/>
  <c r="G280" i="5"/>
  <c r="F323" i="5"/>
  <c r="G350" i="5"/>
  <c r="F341" i="5"/>
  <c r="E292" i="5"/>
  <c r="F319" i="5"/>
  <c r="E310" i="5"/>
  <c r="E341" i="5"/>
  <c r="F7" i="5"/>
  <c r="F99" i="5"/>
  <c r="F47" i="5"/>
  <c r="E110" i="5"/>
  <c r="F283" i="5"/>
  <c r="G318" i="5"/>
  <c r="E348" i="5"/>
  <c r="G11" i="5"/>
  <c r="F63" i="5"/>
  <c r="G126" i="5"/>
  <c r="G198" i="5"/>
  <c r="G218" i="5"/>
  <c r="G278" i="5"/>
  <c r="F321" i="5"/>
  <c r="G352" i="5"/>
  <c r="F343" i="5"/>
  <c r="F11" i="5"/>
  <c r="E74" i="5"/>
  <c r="G282" i="5"/>
  <c r="E321" i="5"/>
  <c r="F339" i="5"/>
  <c r="G50" i="5"/>
  <c r="F79" i="5"/>
  <c r="G142" i="5"/>
  <c r="F155" i="5"/>
  <c r="F186" i="5"/>
  <c r="F222" i="5"/>
  <c r="F258" i="5"/>
  <c r="F247" i="5"/>
  <c r="F307" i="5"/>
  <c r="E2" i="5"/>
  <c r="F83" i="5"/>
  <c r="E94" i="5"/>
  <c r="F123" i="5"/>
  <c r="E169" i="5"/>
  <c r="F159" i="5"/>
  <c r="E153" i="5"/>
  <c r="F195" i="5"/>
  <c r="E189" i="5"/>
  <c r="F231" i="5"/>
  <c r="E225" i="5"/>
  <c r="F215" i="5"/>
  <c r="E261" i="5"/>
  <c r="F251" i="5"/>
  <c r="E245" i="5"/>
  <c r="F280" i="5"/>
  <c r="E323" i="5"/>
  <c r="G302" i="5"/>
  <c r="E332" i="5"/>
  <c r="G47" i="5"/>
  <c r="G70" i="5"/>
  <c r="G139" i="5"/>
  <c r="G314" i="5"/>
  <c r="F305" i="5"/>
  <c r="G336" i="5"/>
  <c r="E18" i="5"/>
  <c r="F139" i="5"/>
  <c r="E274" i="5"/>
  <c r="E305" i="5"/>
  <c r="F336" i="5"/>
  <c r="G34" i="5"/>
  <c r="G103" i="5"/>
  <c r="G162" i="5"/>
  <c r="G182" i="5"/>
  <c r="G254" i="5"/>
  <c r="F103" i="5"/>
  <c r="E290" i="5"/>
  <c r="E312" i="5"/>
  <c r="E343" i="5"/>
  <c r="E21" i="5"/>
  <c r="G67" i="5"/>
  <c r="F171" i="5"/>
  <c r="F202" i="5"/>
  <c r="F191" i="5"/>
  <c r="F227" i="5"/>
  <c r="F263" i="5"/>
  <c r="G242" i="5"/>
  <c r="G316" i="5"/>
  <c r="G334" i="5"/>
  <c r="D3" i="2"/>
  <c r="D2" i="2"/>
  <c r="D4" i="2"/>
  <c r="D297" i="1" l="1"/>
  <c r="D357" i="1"/>
  <c r="D330" i="1"/>
  <c r="B357" i="1"/>
  <c r="B326" i="1"/>
  <c r="A329" i="1"/>
  <c r="D355" i="1"/>
  <c r="C355" i="1"/>
  <c r="A358" i="1"/>
  <c r="B297" i="1"/>
  <c r="C330" i="1"/>
  <c r="B299" i="1"/>
  <c r="C146" i="1"/>
  <c r="D328" i="1"/>
  <c r="C360" i="1"/>
  <c r="B294" i="1"/>
  <c r="B107" i="1"/>
  <c r="D325" i="1"/>
  <c r="A327" i="1"/>
  <c r="A295" i="1"/>
  <c r="A359" i="1"/>
  <c r="D84" i="1"/>
  <c r="C269" i="1"/>
  <c r="B24" i="1"/>
  <c r="C361" i="1"/>
  <c r="C359" i="1"/>
  <c r="A356" i="1"/>
  <c r="C357" i="1"/>
  <c r="D360" i="1"/>
  <c r="B330" i="1"/>
  <c r="D359" i="1"/>
  <c r="D296" i="1"/>
  <c r="C358" i="1"/>
  <c r="B325" i="1"/>
  <c r="A337" i="1"/>
  <c r="D314" i="1"/>
  <c r="B308" i="1"/>
  <c r="B293" i="1"/>
  <c r="D350" i="1"/>
  <c r="D337" i="1"/>
  <c r="B335" i="1"/>
  <c r="D354" i="1"/>
  <c r="B298" i="1"/>
  <c r="D80" i="1"/>
  <c r="B359" i="1"/>
  <c r="D67" i="1"/>
  <c r="C328" i="1"/>
  <c r="B356" i="1"/>
  <c r="A326" i="1"/>
  <c r="D95" i="1"/>
  <c r="B327" i="1"/>
  <c r="D312" i="1"/>
  <c r="A355" i="1"/>
  <c r="B295" i="1"/>
  <c r="C324" i="1"/>
  <c r="D295" i="1"/>
  <c r="C287" i="1"/>
  <c r="A360" i="1"/>
  <c r="C294" i="1"/>
  <c r="C301" i="1"/>
  <c r="C306" i="1"/>
  <c r="B339" i="1"/>
  <c r="C337" i="1"/>
  <c r="A354" i="1"/>
  <c r="A349" i="1"/>
  <c r="B306" i="1"/>
  <c r="D348" i="1"/>
  <c r="C290" i="1"/>
  <c r="A289" i="1"/>
  <c r="A351" i="1"/>
  <c r="C344" i="1"/>
  <c r="C339" i="1"/>
  <c r="A328" i="1"/>
  <c r="A309" i="1"/>
  <c r="B332" i="1"/>
  <c r="A316" i="1"/>
  <c r="B348" i="1"/>
  <c r="B340" i="1"/>
  <c r="C327" i="1"/>
  <c r="D356" i="1"/>
  <c r="A340" i="1"/>
  <c r="D323" i="1"/>
  <c r="A317" i="1"/>
  <c r="A304" i="1"/>
  <c r="B361" i="1"/>
  <c r="C336" i="1"/>
  <c r="A353" i="1"/>
  <c r="C338" i="1"/>
  <c r="A322" i="1"/>
  <c r="C315" i="1"/>
  <c r="C302" i="1"/>
  <c r="D349" i="1"/>
  <c r="C341" i="1"/>
  <c r="B333" i="1"/>
  <c r="B328" i="1"/>
  <c r="B315" i="1"/>
  <c r="B334" i="1"/>
  <c r="A321" i="1"/>
  <c r="A299" i="1"/>
  <c r="D351" i="1"/>
  <c r="D315" i="1"/>
  <c r="D342" i="1"/>
  <c r="D313" i="1"/>
  <c r="C310" i="1"/>
  <c r="C342" i="1"/>
  <c r="A315" i="1"/>
  <c r="B286" i="1"/>
  <c r="D82" i="1"/>
  <c r="C335" i="1"/>
  <c r="B343" i="1"/>
  <c r="A335" i="1"/>
  <c r="C323" i="1"/>
  <c r="B307" i="1"/>
  <c r="A312" i="1"/>
  <c r="C316" i="1"/>
  <c r="D318" i="1"/>
  <c r="D290" i="1"/>
  <c r="A324" i="1"/>
  <c r="B314" i="1"/>
  <c r="C304" i="1"/>
  <c r="C291" i="1"/>
  <c r="B345" i="1"/>
  <c r="D298" i="1"/>
  <c r="C322" i="1"/>
  <c r="A311" i="1"/>
  <c r="D299" i="1"/>
  <c r="B288" i="1"/>
  <c r="D343" i="1"/>
  <c r="D310" i="1"/>
  <c r="A347" i="1"/>
  <c r="C352" i="1"/>
  <c r="A345" i="1"/>
  <c r="D333" i="1"/>
  <c r="C325" i="1"/>
  <c r="B317" i="1"/>
  <c r="C307" i="1"/>
  <c r="C356" i="1"/>
  <c r="B296" i="1"/>
  <c r="D347" i="1"/>
  <c r="B347" i="1"/>
  <c r="B276" i="1"/>
  <c r="D332" i="1"/>
  <c r="A319" i="1"/>
  <c r="D307" i="1"/>
  <c r="D289" i="1"/>
  <c r="A350" i="1"/>
  <c r="A293" i="1"/>
  <c r="A294" i="1"/>
  <c r="D316" i="1"/>
  <c r="C312" i="1"/>
  <c r="B316" i="1"/>
  <c r="C353" i="1"/>
  <c r="B303" i="1"/>
  <c r="B290" i="1"/>
  <c r="B329" i="1"/>
  <c r="A300" i="1"/>
  <c r="D288" i="1"/>
  <c r="D327" i="1"/>
  <c r="B342" i="1"/>
  <c r="C320" i="1"/>
  <c r="D317" i="1"/>
  <c r="D304" i="1"/>
  <c r="C296" i="1"/>
  <c r="C340" i="1"/>
  <c r="C319" i="1"/>
  <c r="B354" i="1"/>
  <c r="B337" i="1"/>
  <c r="D335" i="1"/>
  <c r="D331" i="1"/>
  <c r="A290" i="1"/>
  <c r="D305" i="1"/>
  <c r="A357" i="1"/>
  <c r="B353" i="1"/>
  <c r="C276" i="1"/>
  <c r="A308" i="1"/>
  <c r="C288" i="1"/>
  <c r="A334" i="1"/>
  <c r="B318" i="1"/>
  <c r="C309" i="1"/>
  <c r="B312" i="1"/>
  <c r="C349" i="1"/>
  <c r="C313" i="1"/>
  <c r="A310" i="1"/>
  <c r="C351" i="1"/>
  <c r="B310" i="1"/>
  <c r="C308" i="1"/>
  <c r="A336" i="1"/>
  <c r="B305" i="1"/>
  <c r="A348" i="1"/>
  <c r="B352" i="1"/>
  <c r="A341" i="1"/>
  <c r="B322" i="1"/>
  <c r="A314" i="1"/>
  <c r="A323" i="1"/>
  <c r="A288" i="1"/>
  <c r="D311" i="1"/>
  <c r="C345" i="1"/>
  <c r="C282" i="1"/>
  <c r="D73" i="1"/>
  <c r="A313" i="1"/>
  <c r="D352" i="1"/>
  <c r="C321" i="1"/>
  <c r="B313" i="1"/>
  <c r="C303" i="1"/>
  <c r="A318" i="1"/>
  <c r="D294" i="1"/>
  <c r="D309" i="1"/>
  <c r="B309" i="1"/>
  <c r="A361" i="1"/>
  <c r="D341" i="1"/>
  <c r="C333" i="1"/>
  <c r="B350" i="1"/>
  <c r="A305" i="1"/>
  <c r="C297" i="1"/>
  <c r="C292" i="1"/>
  <c r="D346" i="1"/>
  <c r="A297" i="1"/>
  <c r="D292" i="1"/>
  <c r="B289" i="1"/>
  <c r="C329" i="1"/>
  <c r="A343" i="1"/>
  <c r="C347" i="1"/>
  <c r="C343" i="1"/>
  <c r="A307" i="1"/>
  <c r="D303" i="1"/>
  <c r="D340" i="1"/>
  <c r="A332" i="1"/>
  <c r="A306" i="1"/>
  <c r="A330" i="1"/>
  <c r="C332" i="1"/>
  <c r="A302" i="1"/>
  <c r="B304" i="1"/>
  <c r="B291" i="1"/>
  <c r="D320" i="1"/>
  <c r="D111" i="1"/>
  <c r="C346" i="1"/>
  <c r="D336" i="1"/>
  <c r="B358" i="1"/>
  <c r="A331" i="1"/>
  <c r="C311" i="1"/>
  <c r="D306" i="1"/>
  <c r="C293" i="1"/>
  <c r="A301" i="1"/>
  <c r="C317" i="1"/>
  <c r="B355" i="1"/>
  <c r="A352" i="1"/>
  <c r="C295" i="1"/>
  <c r="D353" i="1"/>
  <c r="D308" i="1"/>
  <c r="B351" i="1"/>
  <c r="D338" i="1"/>
  <c r="C289" i="1"/>
  <c r="D322" i="1"/>
  <c r="C314" i="1"/>
  <c r="D324" i="1"/>
  <c r="C305" i="1"/>
  <c r="B338" i="1"/>
  <c r="D291" i="1"/>
  <c r="A346" i="1"/>
  <c r="B360" i="1"/>
  <c r="C350" i="1"/>
  <c r="A292" i="1"/>
  <c r="D329" i="1"/>
  <c r="B321" i="1"/>
  <c r="C326" i="1"/>
  <c r="B331" i="1"/>
  <c r="D358" i="1"/>
  <c r="A303" i="1"/>
  <c r="B341" i="1"/>
  <c r="A325" i="1"/>
  <c r="B302" i="1"/>
  <c r="D319" i="1"/>
  <c r="D345" i="1"/>
  <c r="C348" i="1"/>
  <c r="B292" i="1"/>
  <c r="B311" i="1"/>
  <c r="A344" i="1"/>
  <c r="C318" i="1"/>
  <c r="D293" i="1"/>
  <c r="B346" i="1"/>
  <c r="D339" i="1"/>
  <c r="D334" i="1"/>
  <c r="B323" i="1"/>
  <c r="A291" i="1"/>
  <c r="C354" i="1"/>
  <c r="D344" i="1"/>
  <c r="A338" i="1"/>
  <c r="A333" i="1"/>
  <c r="D321" i="1"/>
  <c r="A342" i="1"/>
  <c r="B319" i="1"/>
  <c r="A320" i="1"/>
  <c r="B349" i="1"/>
  <c r="B344" i="1"/>
  <c r="C334" i="1"/>
  <c r="A339" i="1"/>
  <c r="D302" i="1"/>
  <c r="C300" i="1"/>
  <c r="B336" i="1"/>
  <c r="D361" i="1"/>
  <c r="B320" i="1"/>
  <c r="A296" i="1"/>
  <c r="D326" i="1"/>
  <c r="D269" i="1"/>
  <c r="D112" i="1"/>
  <c r="A6" i="1"/>
  <c r="A275" i="1"/>
  <c r="B278" i="1"/>
  <c r="B287" i="1"/>
  <c r="B22" i="1"/>
  <c r="A273" i="1"/>
  <c r="A276" i="1"/>
  <c r="C272" i="1"/>
  <c r="D72" i="1"/>
  <c r="B269" i="1"/>
  <c r="D47" i="1"/>
  <c r="C137" i="1"/>
  <c r="B270" i="1"/>
  <c r="C285" i="1"/>
  <c r="C8" i="1"/>
  <c r="C173" i="1"/>
  <c r="A282" i="1"/>
  <c r="C20" i="1"/>
  <c r="D16" i="1"/>
  <c r="D280" i="1"/>
  <c r="D37" i="1"/>
  <c r="A7" i="1"/>
  <c r="D57" i="1"/>
  <c r="C286" i="1"/>
  <c r="B174" i="1"/>
  <c r="C17" i="1"/>
  <c r="D44" i="1"/>
  <c r="B285" i="1"/>
  <c r="D156" i="1"/>
  <c r="D25" i="1"/>
  <c r="D18" i="1"/>
  <c r="C24" i="1"/>
  <c r="A281" i="1"/>
  <c r="D48" i="1"/>
  <c r="D17" i="1"/>
  <c r="C22" i="1"/>
  <c r="D8" i="1"/>
  <c r="A24" i="1"/>
  <c r="B6" i="1"/>
  <c r="A269" i="1"/>
  <c r="C9" i="1"/>
  <c r="D70" i="1"/>
  <c r="D134" i="1"/>
  <c r="D14" i="1"/>
  <c r="A180" i="1"/>
  <c r="C266" i="1"/>
  <c r="A5" i="1"/>
  <c r="B180" i="1"/>
  <c r="A11" i="1"/>
  <c r="D86" i="1"/>
  <c r="D114" i="1"/>
  <c r="D83" i="1"/>
  <c r="D143" i="1"/>
  <c r="D100" i="1"/>
  <c r="D68" i="1"/>
  <c r="D31" i="1"/>
  <c r="C21" i="1"/>
  <c r="D32" i="1"/>
  <c r="D74" i="1"/>
  <c r="D248" i="1"/>
  <c r="D145" i="1"/>
  <c r="D116" i="1"/>
  <c r="B17" i="1"/>
  <c r="D41" i="1"/>
  <c r="A287" i="1"/>
  <c r="A277" i="1"/>
  <c r="C12" i="1"/>
  <c r="B88" i="1"/>
  <c r="D19" i="1"/>
  <c r="D61" i="1"/>
  <c r="D110" i="1"/>
  <c r="D279" i="1"/>
  <c r="D66" i="1"/>
  <c r="D76" i="1"/>
  <c r="B8" i="1"/>
  <c r="D7" i="1"/>
  <c r="D92" i="1"/>
  <c r="A9" i="1"/>
  <c r="A15" i="1"/>
  <c r="D243" i="1"/>
  <c r="A25" i="1"/>
  <c r="A223" i="1"/>
  <c r="B266" i="1"/>
  <c r="C220" i="1"/>
  <c r="C277" i="1"/>
  <c r="D81" i="1"/>
  <c r="C270" i="1"/>
  <c r="B9" i="1"/>
  <c r="A279" i="1"/>
  <c r="D56" i="1"/>
  <c r="D39" i="1"/>
  <c r="A13" i="1"/>
  <c r="D27" i="1"/>
  <c r="B12" i="1"/>
  <c r="B141" i="1"/>
  <c r="D139" i="1"/>
  <c r="D34" i="1"/>
  <c r="D121" i="1"/>
  <c r="C6" i="1"/>
  <c r="A16" i="1"/>
  <c r="A19" i="1"/>
  <c r="D87" i="1"/>
  <c r="D160" i="1"/>
  <c r="D58" i="1"/>
  <c r="D46" i="1"/>
  <c r="C68" i="1"/>
  <c r="D77" i="1"/>
  <c r="D124" i="1"/>
  <c r="D5" i="1"/>
  <c r="C281" i="1"/>
  <c r="C7" i="1"/>
  <c r="A283" i="1"/>
  <c r="D62" i="1"/>
  <c r="D135" i="1"/>
  <c r="D146" i="1"/>
  <c r="B171" i="1"/>
  <c r="C132" i="1"/>
  <c r="D257" i="1"/>
  <c r="D170" i="1"/>
  <c r="D13" i="1"/>
  <c r="D183" i="1"/>
  <c r="C283" i="1"/>
  <c r="A162" i="1"/>
  <c r="A285" i="1"/>
  <c r="D15" i="1"/>
  <c r="D106" i="1"/>
  <c r="D105" i="1"/>
  <c r="D274" i="1"/>
  <c r="B21" i="1"/>
  <c r="A14" i="1"/>
  <c r="D138" i="1"/>
  <c r="D20" i="1"/>
  <c r="C10" i="1"/>
  <c r="C5" i="1"/>
  <c r="C18" i="1"/>
  <c r="B10" i="1"/>
  <c r="D270" i="1"/>
  <c r="D29" i="1"/>
  <c r="D153" i="1"/>
  <c r="D35" i="1"/>
  <c r="C234" i="1"/>
  <c r="A8" i="1"/>
  <c r="D224" i="1"/>
  <c r="D186" i="1"/>
  <c r="D28" i="1"/>
  <c r="D120" i="1"/>
  <c r="D267" i="1"/>
  <c r="D108" i="1"/>
  <c r="D179" i="1"/>
  <c r="D21" i="1"/>
  <c r="B7" i="1"/>
  <c r="B16" i="1"/>
  <c r="C13" i="1"/>
  <c r="B15" i="1"/>
  <c r="D137" i="1"/>
  <c r="D90" i="1"/>
  <c r="D154" i="1"/>
  <c r="D165" i="1"/>
  <c r="D9" i="1"/>
  <c r="C19" i="1"/>
  <c r="C15" i="1"/>
  <c r="D42" i="1"/>
  <c r="D148" i="1"/>
  <c r="D52" i="1"/>
  <c r="D23" i="1"/>
  <c r="D132" i="1"/>
  <c r="A23" i="1"/>
  <c r="A20" i="1"/>
  <c r="D6" i="1"/>
  <c r="D98" i="1"/>
  <c r="D218" i="1"/>
  <c r="D123" i="1"/>
  <c r="D194" i="1"/>
  <c r="D38" i="1"/>
  <c r="D11" i="1"/>
  <c r="D252" i="1"/>
  <c r="A18" i="1"/>
  <c r="B11" i="1"/>
  <c r="B23" i="1"/>
  <c r="C267" i="1"/>
  <c r="D79" i="1"/>
  <c r="D24" i="1"/>
  <c r="D53" i="1"/>
  <c r="D65" i="1"/>
  <c r="C11" i="1"/>
  <c r="B20" i="1"/>
  <c r="D236" i="1"/>
  <c r="D55" i="1"/>
  <c r="D71" i="1"/>
  <c r="D12" i="1"/>
  <c r="D51" i="1"/>
  <c r="D115" i="1"/>
  <c r="C23" i="1"/>
  <c r="D40" i="1"/>
  <c r="D93" i="1"/>
  <c r="D64" i="1"/>
  <c r="D101" i="1"/>
  <c r="D59" i="1"/>
  <c r="A267" i="1"/>
  <c r="D205" i="1"/>
  <c r="D50" i="1"/>
  <c r="D88" i="1"/>
  <c r="A12" i="1"/>
  <c r="B5" i="1"/>
  <c r="B19" i="1"/>
  <c r="B14" i="1"/>
  <c r="D122" i="1"/>
  <c r="D172" i="1"/>
  <c r="D130" i="1"/>
  <c r="D36" i="1"/>
  <c r="D75" i="1"/>
  <c r="A21" i="1"/>
  <c r="A207" i="1"/>
  <c r="A10" i="1"/>
  <c r="D69" i="1"/>
  <c r="D158" i="1"/>
  <c r="D26" i="1"/>
  <c r="B267" i="1"/>
  <c r="D22" i="1"/>
  <c r="D63" i="1"/>
  <c r="C121" i="1"/>
  <c r="C14" i="1"/>
  <c r="B13" i="1"/>
  <c r="C16" i="1"/>
  <c r="B18" i="1"/>
  <c r="B169" i="1"/>
  <c r="B207" i="1"/>
  <c r="A182" i="1"/>
  <c r="A22" i="1"/>
  <c r="D126" i="1"/>
  <c r="D166" i="1"/>
  <c r="D10" i="1"/>
  <c r="D169" i="1"/>
  <c r="B240" i="1"/>
  <c r="D217" i="1"/>
  <c r="C222" i="1"/>
  <c r="D220" i="1"/>
  <c r="D193" i="1"/>
  <c r="B4" i="1"/>
  <c r="C239" i="1"/>
  <c r="A170" i="1"/>
  <c r="C201" i="1"/>
  <c r="B210" i="1"/>
  <c r="B229" i="1"/>
  <c r="A91" i="1"/>
  <c r="A4" i="1"/>
  <c r="D91" i="1"/>
  <c r="B94" i="1"/>
  <c r="C185" i="1"/>
  <c r="B28" i="1"/>
  <c r="B166" i="1"/>
  <c r="A104" i="1"/>
  <c r="A147" i="1"/>
  <c r="A38" i="1"/>
  <c r="A30" i="1"/>
  <c r="C118" i="1"/>
  <c r="B44" i="1"/>
  <c r="A109" i="1"/>
  <c r="A53" i="1"/>
  <c r="B173" i="1"/>
  <c r="B99" i="1"/>
  <c r="A113" i="1"/>
  <c r="A94" i="1"/>
  <c r="A150" i="1"/>
  <c r="B87" i="1"/>
  <c r="B53" i="1"/>
  <c r="B103" i="1"/>
  <c r="A132" i="1"/>
  <c r="B31" i="1"/>
  <c r="B138" i="1"/>
  <c r="A63" i="1"/>
  <c r="D212" i="1"/>
  <c r="C4" i="1"/>
  <c r="B93" i="1"/>
  <c r="A221" i="1"/>
  <c r="A93" i="1"/>
  <c r="A135" i="1"/>
  <c r="A106" i="1"/>
  <c r="D203" i="1"/>
  <c r="D4" i="1"/>
  <c r="A123" i="1"/>
  <c r="A234" i="1"/>
  <c r="A118" i="1"/>
  <c r="A198" i="1"/>
  <c r="D235" i="1"/>
  <c r="D182" i="1"/>
  <c r="C130" i="1"/>
  <c r="C169" i="1"/>
  <c r="B60" i="1"/>
  <c r="C101" i="1"/>
  <c r="C70" i="1"/>
  <c r="A122" i="1"/>
  <c r="C34" i="1"/>
  <c r="A192" i="1"/>
  <c r="C96" i="1"/>
  <c r="D233" i="1"/>
  <c r="A202" i="1"/>
  <c r="A42" i="1"/>
  <c r="A78" i="1"/>
  <c r="C98" i="1"/>
  <c r="B57" i="1"/>
  <c r="B49" i="1"/>
  <c r="A54" i="1"/>
  <c r="C190" i="1"/>
  <c r="C226" i="1"/>
  <c r="C163" i="1"/>
  <c r="B51" i="1"/>
  <c r="C28" i="1"/>
  <c r="A204" i="1"/>
  <c r="C119" i="1"/>
  <c r="D176" i="1"/>
  <c r="A229" i="1"/>
  <c r="C168" i="1"/>
  <c r="C178" i="1"/>
  <c r="C166" i="1"/>
  <c r="C93" i="1"/>
  <c r="A196" i="1"/>
  <c r="B125" i="1"/>
  <c r="A145" i="1"/>
  <c r="A58" i="1"/>
  <c r="C187" i="1"/>
  <c r="B33" i="1"/>
  <c r="C47" i="1"/>
  <c r="C134" i="1"/>
  <c r="A173" i="1"/>
  <c r="B43" i="1"/>
  <c r="B243" i="1"/>
  <c r="A178" i="1"/>
  <c r="C105" i="1"/>
  <c r="C30" i="1"/>
  <c r="A3" i="1"/>
  <c r="A210" i="1"/>
  <c r="C133" i="1"/>
  <c r="B77" i="1"/>
  <c r="C79" i="1"/>
  <c r="A186" i="1"/>
  <c r="B134" i="1"/>
  <c r="B126" i="1"/>
  <c r="C87" i="1"/>
  <c r="B204" i="1"/>
  <c r="C77" i="1"/>
  <c r="C206" i="1"/>
  <c r="B105" i="1"/>
  <c r="C42" i="1"/>
  <c r="A133" i="1"/>
  <c r="C157" i="1"/>
  <c r="A242" i="1"/>
  <c r="A83" i="1"/>
  <c r="D184" i="1"/>
  <c r="A51" i="1"/>
  <c r="A138" i="1"/>
  <c r="A128" i="1"/>
  <c r="A168" i="1"/>
  <c r="A206" i="1"/>
  <c r="B168" i="1"/>
  <c r="A70" i="1"/>
  <c r="A68" i="1"/>
  <c r="A157" i="1"/>
  <c r="B67" i="1"/>
  <c r="B200" i="1"/>
  <c r="C199" i="1"/>
  <c r="C229" i="1"/>
  <c r="C69" i="1"/>
  <c r="B178" i="1"/>
  <c r="B163" i="1"/>
  <c r="C219" i="1"/>
  <c r="C113" i="1"/>
  <c r="D234" i="1"/>
  <c r="A152" i="1"/>
  <c r="A174" i="1"/>
  <c r="D215" i="1"/>
  <c r="D228" i="1"/>
  <c r="D191" i="1"/>
  <c r="B258" i="1"/>
  <c r="B280" i="1"/>
  <c r="B250" i="1"/>
  <c r="B272" i="1"/>
  <c r="B259" i="1"/>
  <c r="B281" i="1"/>
  <c r="C256" i="1"/>
  <c r="C278" i="1"/>
  <c r="B201" i="1"/>
  <c r="A248" i="1"/>
  <c r="A270" i="1"/>
  <c r="A262" i="1"/>
  <c r="A284" i="1"/>
  <c r="D222" i="1"/>
  <c r="D240" i="1"/>
  <c r="D263" i="1"/>
  <c r="D285" i="1"/>
  <c r="D147" i="1"/>
  <c r="D159" i="1"/>
  <c r="B160" i="1"/>
  <c r="C171" i="1"/>
  <c r="B137" i="1"/>
  <c r="A227" i="1"/>
  <c r="C138" i="1"/>
  <c r="D175" i="1"/>
  <c r="D190" i="1"/>
  <c r="D260" i="1"/>
  <c r="D282" i="1"/>
  <c r="D195" i="1"/>
  <c r="D211" i="1"/>
  <c r="D181" i="1"/>
  <c r="D196" i="1"/>
  <c r="C76" i="1"/>
  <c r="B39" i="1"/>
  <c r="C147" i="1"/>
  <c r="B30" i="1"/>
  <c r="A171" i="1"/>
  <c r="A142" i="1"/>
  <c r="B246" i="1"/>
  <c r="B268" i="1"/>
  <c r="A249" i="1"/>
  <c r="A271" i="1"/>
  <c r="C262" i="1"/>
  <c r="C284" i="1"/>
  <c r="D2" i="1"/>
  <c r="D43" i="1"/>
  <c r="D198" i="1"/>
  <c r="C107" i="1"/>
  <c r="B111" i="1"/>
  <c r="A199" i="1"/>
  <c r="C257" i="1"/>
  <c r="C279" i="1"/>
  <c r="B128" i="1"/>
  <c r="A258" i="1"/>
  <c r="A280" i="1"/>
  <c r="A246" i="1"/>
  <c r="A268" i="1"/>
  <c r="A114" i="1"/>
  <c r="C258" i="1"/>
  <c r="C280" i="1"/>
  <c r="B223" i="1"/>
  <c r="B252" i="1"/>
  <c r="B274" i="1"/>
  <c r="B262" i="1"/>
  <c r="B284" i="1"/>
  <c r="B132" i="1"/>
  <c r="D199" i="1"/>
  <c r="D210" i="1"/>
  <c r="D254" i="1"/>
  <c r="D277" i="1"/>
  <c r="D157" i="1"/>
  <c r="D171" i="1"/>
  <c r="D221" i="1"/>
  <c r="D239" i="1"/>
  <c r="D216" i="1"/>
  <c r="A264" i="1"/>
  <c r="A286" i="1"/>
  <c r="C126" i="1"/>
  <c r="C243" i="1"/>
  <c r="D187" i="1"/>
  <c r="D202" i="1"/>
  <c r="D150" i="1"/>
  <c r="D162" i="1"/>
  <c r="D242" i="1"/>
  <c r="D197" i="1"/>
  <c r="D262" i="1"/>
  <c r="D284" i="1"/>
  <c r="D118" i="1"/>
  <c r="D128" i="1"/>
  <c r="D3" i="1"/>
  <c r="D209" i="1"/>
  <c r="D227" i="1"/>
  <c r="D245" i="1"/>
  <c r="D266" i="1"/>
  <c r="D133" i="1"/>
  <c r="D144" i="1"/>
  <c r="D78" i="1"/>
  <c r="D85" i="1"/>
  <c r="D192" i="1"/>
  <c r="D208" i="1"/>
  <c r="D250" i="1"/>
  <c r="D272" i="1"/>
  <c r="D141" i="1"/>
  <c r="D152" i="1"/>
  <c r="D173" i="1"/>
  <c r="D188" i="1"/>
  <c r="D265" i="1"/>
  <c r="D287" i="1"/>
  <c r="D238" i="1"/>
  <c r="D94" i="1"/>
  <c r="D102" i="1"/>
  <c r="D129" i="1"/>
  <c r="B3" i="1"/>
  <c r="D125" i="1"/>
  <c r="D136" i="1"/>
  <c r="D206" i="1"/>
  <c r="D223" i="1"/>
  <c r="D253" i="1"/>
  <c r="D275" i="1"/>
  <c r="D109" i="1"/>
  <c r="D119" i="1"/>
  <c r="D89" i="1"/>
  <c r="D97" i="1"/>
  <c r="D226" i="1"/>
  <c r="D244" i="1"/>
  <c r="D261" i="1"/>
  <c r="D283" i="1"/>
  <c r="D117" i="1"/>
  <c r="D127" i="1"/>
  <c r="D185" i="1"/>
  <c r="D200" i="1"/>
  <c r="D255" i="1"/>
  <c r="D276" i="1"/>
  <c r="D241" i="1"/>
  <c r="D214" i="1"/>
  <c r="D232" i="1"/>
  <c r="D249" i="1"/>
  <c r="D271" i="1"/>
  <c r="D163" i="1"/>
  <c r="D177" i="1"/>
  <c r="D167" i="1"/>
  <c r="D180" i="1"/>
  <c r="D164" i="1"/>
  <c r="D178" i="1"/>
  <c r="D99" i="1"/>
  <c r="D107" i="1"/>
  <c r="D229" i="1"/>
  <c r="D247" i="1"/>
  <c r="D237" i="1"/>
  <c r="D258" i="1"/>
  <c r="D54" i="1"/>
  <c r="D60" i="1"/>
  <c r="B42" i="1"/>
  <c r="B254" i="1"/>
  <c r="B277" i="1"/>
  <c r="C252" i="1"/>
  <c r="C274" i="1"/>
  <c r="B260" i="1"/>
  <c r="B282" i="1"/>
  <c r="C45" i="1"/>
  <c r="A125" i="1"/>
  <c r="B176" i="1"/>
  <c r="B249" i="1"/>
  <c r="B271" i="1"/>
  <c r="B206" i="1"/>
  <c r="B109" i="1"/>
  <c r="B190" i="1"/>
  <c r="A117" i="1"/>
  <c r="A250" i="1"/>
  <c r="A272" i="1"/>
  <c r="C57" i="1"/>
  <c r="A252" i="1"/>
  <c r="A274" i="1"/>
  <c r="A101" i="1"/>
  <c r="B100" i="1"/>
  <c r="C128" i="1"/>
  <c r="B234" i="1"/>
  <c r="B251" i="1"/>
  <c r="B273" i="1"/>
  <c r="B253" i="1"/>
  <c r="B275" i="1"/>
  <c r="C214" i="1"/>
  <c r="C144" i="1"/>
  <c r="A111" i="1"/>
  <c r="A60" i="1"/>
  <c r="B165" i="1"/>
  <c r="A208" i="1"/>
  <c r="A144" i="1"/>
  <c r="B144" i="1"/>
  <c r="A127" i="1"/>
  <c r="C246" i="1"/>
  <c r="C268" i="1"/>
  <c r="C223" i="1"/>
  <c r="B232" i="1"/>
  <c r="C100" i="1"/>
  <c r="C176" i="1"/>
  <c r="C125" i="1"/>
  <c r="B104" i="1"/>
  <c r="B192" i="1"/>
  <c r="D259" i="1"/>
  <c r="D281" i="1"/>
  <c r="D103" i="1"/>
  <c r="D113" i="1"/>
  <c r="D155" i="1"/>
  <c r="D168" i="1"/>
  <c r="D231" i="1"/>
  <c r="D174" i="1"/>
  <c r="D225" i="1"/>
  <c r="D131" i="1"/>
  <c r="D142" i="1"/>
  <c r="D140" i="1"/>
  <c r="D151" i="1"/>
  <c r="D149" i="1"/>
  <c r="D161" i="1"/>
  <c r="D256" i="1"/>
  <c r="D278" i="1"/>
  <c r="D219" i="1"/>
  <c r="D30" i="1"/>
  <c r="D33" i="1"/>
  <c r="D264" i="1"/>
  <c r="D286" i="1"/>
  <c r="D213" i="1"/>
  <c r="D230" i="1"/>
  <c r="D246" i="1"/>
  <c r="D268" i="1"/>
  <c r="A245" i="1"/>
  <c r="A266" i="1"/>
  <c r="B147" i="1"/>
  <c r="A105" i="1"/>
  <c r="A220" i="1"/>
  <c r="A201" i="1"/>
  <c r="B257" i="1"/>
  <c r="B279" i="1"/>
  <c r="B216" i="1"/>
  <c r="C39" i="1"/>
  <c r="C216" i="1"/>
  <c r="B239" i="1"/>
  <c r="B199" i="1"/>
  <c r="C60" i="1"/>
  <c r="B69" i="1"/>
  <c r="A119" i="1"/>
  <c r="C249" i="1"/>
  <c r="C271" i="1"/>
  <c r="C189" i="1"/>
  <c r="C91" i="1"/>
  <c r="A256" i="1"/>
  <c r="A278" i="1"/>
  <c r="C192" i="1"/>
  <c r="B83" i="1"/>
  <c r="C160" i="1"/>
  <c r="B261" i="1"/>
  <c r="B283" i="1"/>
  <c r="A218" i="1"/>
  <c r="C44" i="1"/>
  <c r="A222" i="1"/>
  <c r="B195" i="1"/>
  <c r="C120" i="1"/>
  <c r="C251" i="1"/>
  <c r="C273" i="1"/>
  <c r="C253" i="1"/>
  <c r="C275" i="1"/>
  <c r="C103" i="1"/>
  <c r="D207" i="1"/>
  <c r="D251" i="1"/>
  <c r="D273" i="1"/>
  <c r="D201" i="1"/>
  <c r="D96" i="1"/>
  <c r="D104" i="1"/>
  <c r="D189" i="1"/>
  <c r="D204" i="1"/>
  <c r="D45" i="1"/>
  <c r="D49" i="1"/>
  <c r="B145" i="1"/>
  <c r="C158" i="1"/>
  <c r="A43" i="1"/>
  <c r="A238" i="1"/>
  <c r="C48" i="1"/>
  <c r="C74" i="1"/>
  <c r="C49" i="1"/>
  <c r="C145" i="1"/>
  <c r="B220" i="1"/>
  <c r="A75" i="1"/>
  <c r="C232" i="1"/>
  <c r="B91" i="1"/>
  <c r="A195" i="1"/>
  <c r="B127" i="1"/>
  <c r="A155" i="1"/>
  <c r="B255" i="1"/>
  <c r="C3" i="1"/>
  <c r="B179" i="1"/>
  <c r="C124" i="1"/>
  <c r="C186" i="1"/>
  <c r="C106" i="1"/>
  <c r="C152" i="1"/>
  <c r="C117" i="1"/>
  <c r="B189" i="1"/>
  <c r="C52" i="1"/>
  <c r="A136" i="1"/>
  <c r="B177" i="1"/>
  <c r="A172" i="1"/>
  <c r="B227" i="1"/>
  <c r="C177" i="1"/>
  <c r="B155" i="1"/>
  <c r="C259" i="1"/>
  <c r="B35" i="1"/>
  <c r="B263" i="1"/>
  <c r="A215" i="1"/>
  <c r="B152" i="1"/>
  <c r="B136" i="1"/>
  <c r="B215" i="1"/>
  <c r="C240" i="1"/>
  <c r="A260" i="1"/>
  <c r="A27" i="1"/>
  <c r="C224" i="1"/>
  <c r="C149" i="1"/>
  <c r="C244" i="1"/>
  <c r="B116" i="1"/>
  <c r="C260" i="1"/>
  <c r="B172" i="1"/>
  <c r="A130" i="1"/>
  <c r="B70" i="1"/>
  <c r="B101" i="1"/>
  <c r="B113" i="1"/>
  <c r="A102" i="1"/>
  <c r="B119" i="1"/>
  <c r="B133" i="1"/>
  <c r="B159" i="1"/>
  <c r="C194" i="1"/>
  <c r="C104" i="1"/>
  <c r="C129" i="1"/>
  <c r="A212" i="1"/>
  <c r="C116" i="1"/>
  <c r="A230" i="1"/>
  <c r="A146" i="1"/>
  <c r="A115" i="1"/>
  <c r="A50" i="1"/>
  <c r="C136" i="1"/>
  <c r="A254" i="1"/>
  <c r="C141" i="1"/>
  <c r="B52" i="1"/>
  <c r="B194" i="1"/>
  <c r="B247" i="1"/>
  <c r="A179" i="1"/>
  <c r="A240" i="1"/>
  <c r="A110" i="1"/>
  <c r="C174" i="1"/>
  <c r="A164" i="1"/>
  <c r="B212" i="1"/>
  <c r="C265" i="1"/>
  <c r="C172" i="1"/>
  <c r="C86" i="1"/>
  <c r="A66" i="1"/>
  <c r="C200" i="1"/>
  <c r="C54" i="1"/>
  <c r="A159" i="1"/>
  <c r="C215" i="1"/>
  <c r="B209" i="1"/>
  <c r="B184" i="1"/>
  <c r="A235" i="1"/>
  <c r="B187" i="1"/>
  <c r="B139" i="1"/>
  <c r="A116" i="1"/>
  <c r="A255" i="1"/>
  <c r="A134" i="1"/>
  <c r="A194" i="1"/>
  <c r="B75" i="1"/>
  <c r="B129" i="1"/>
  <c r="A184" i="1"/>
  <c r="C204" i="1"/>
  <c r="C254" i="1"/>
  <c r="B235" i="1"/>
  <c r="C212" i="1"/>
  <c r="A124" i="1"/>
  <c r="B157" i="1"/>
  <c r="B124" i="1"/>
  <c r="B117" i="1"/>
  <c r="A247" i="1"/>
  <c r="C209" i="1"/>
  <c r="C184" i="1"/>
  <c r="A88" i="1"/>
  <c r="A100" i="1"/>
  <c r="A176" i="1"/>
  <c r="A59" i="1"/>
  <c r="B203" i="1"/>
  <c r="B186" i="1"/>
  <c r="A71" i="1"/>
  <c r="B151" i="1"/>
  <c r="A131" i="1"/>
  <c r="B38" i="1"/>
  <c r="B106" i="1"/>
  <c r="A231" i="1"/>
  <c r="C35" i="1"/>
  <c r="C139" i="1"/>
  <c r="C263" i="1"/>
  <c r="B233" i="1"/>
  <c r="C221" i="1"/>
  <c r="B29" i="1"/>
  <c r="C56" i="1"/>
  <c r="B58" i="1"/>
  <c r="A213" i="1"/>
  <c r="A158" i="1"/>
  <c r="C159" i="1"/>
  <c r="A34" i="1"/>
  <c r="A151" i="1"/>
  <c r="A214" i="1"/>
  <c r="A166" i="1"/>
  <c r="A84" i="1"/>
  <c r="A32" i="1"/>
  <c r="C33" i="1"/>
  <c r="C242" i="1"/>
  <c r="B46" i="1"/>
  <c r="A156" i="1"/>
  <c r="C83" i="1"/>
  <c r="A76" i="1"/>
  <c r="C202" i="1"/>
  <c r="B85" i="1"/>
  <c r="A79" i="1"/>
  <c r="B81" i="1"/>
  <c r="A47" i="1"/>
  <c r="C264" i="1"/>
  <c r="B154" i="1"/>
  <c r="C235" i="1"/>
  <c r="A57" i="1"/>
  <c r="C197" i="1"/>
  <c r="B86" i="1"/>
  <c r="A139" i="1"/>
  <c r="C140" i="1"/>
  <c r="B98" i="1"/>
  <c r="A232" i="1"/>
  <c r="C167" i="1"/>
  <c r="B64" i="1"/>
  <c r="B158" i="1"/>
  <c r="A188" i="1"/>
  <c r="B50" i="1"/>
  <c r="A233" i="1"/>
  <c r="A193" i="1"/>
  <c r="C114" i="1"/>
  <c r="A33" i="1"/>
  <c r="C111" i="1"/>
  <c r="C43" i="1"/>
  <c r="B248" i="1"/>
  <c r="C180" i="1"/>
  <c r="C142" i="1"/>
  <c r="A73" i="1"/>
  <c r="C193" i="1"/>
  <c r="B102" i="1"/>
  <c r="A225" i="1"/>
  <c r="A153" i="1"/>
  <c r="A55" i="1"/>
  <c r="B225" i="1"/>
  <c r="B196" i="1"/>
  <c r="B198" i="1"/>
  <c r="B37" i="1"/>
  <c r="B153" i="1"/>
  <c r="B65" i="1"/>
  <c r="C196" i="1"/>
  <c r="A36" i="1"/>
  <c r="C37" i="1"/>
  <c r="B82" i="1"/>
  <c r="A237" i="1"/>
  <c r="B32" i="1"/>
  <c r="A149" i="1"/>
  <c r="C127" i="1"/>
  <c r="A80" i="1"/>
  <c r="C46" i="1"/>
  <c r="B156" i="1"/>
  <c r="A244" i="1"/>
  <c r="C255" i="1"/>
  <c r="A257" i="1"/>
  <c r="C181" i="1"/>
  <c r="B112" i="1"/>
  <c r="C183" i="1"/>
  <c r="B72" i="1"/>
  <c r="A190" i="1"/>
  <c r="C62" i="1"/>
  <c r="B175" i="1"/>
  <c r="B135" i="1"/>
  <c r="C247" i="1"/>
  <c r="A148" i="1"/>
  <c r="A46" i="1"/>
  <c r="B34" i="1"/>
  <c r="A228" i="1"/>
  <c r="C50" i="1"/>
  <c r="B84" i="1"/>
  <c r="C135" i="1"/>
  <c r="A239" i="1"/>
  <c r="C55" i="1"/>
  <c r="A41" i="1"/>
  <c r="C110" i="1"/>
  <c r="B221" i="1"/>
  <c r="A29" i="1"/>
  <c r="C31" i="1"/>
  <c r="A143" i="1"/>
  <c r="A189" i="1"/>
  <c r="A205" i="1"/>
  <c r="A90" i="1"/>
  <c r="B122" i="1"/>
  <c r="C208" i="1"/>
  <c r="A241" i="1"/>
  <c r="B89" i="1"/>
  <c r="B185" i="1"/>
  <c r="C80" i="1"/>
  <c r="C210" i="1"/>
  <c r="A211" i="1"/>
  <c r="B188" i="1"/>
  <c r="A108" i="1"/>
  <c r="C109" i="1"/>
  <c r="B231" i="1"/>
  <c r="C65" i="1"/>
  <c r="A226" i="1"/>
  <c r="C227" i="1"/>
  <c r="B36" i="1"/>
  <c r="C82" i="1"/>
  <c r="B237" i="1"/>
  <c r="A121" i="1"/>
  <c r="B76" i="1"/>
  <c r="A126" i="1"/>
  <c r="C85" i="1"/>
  <c r="B79" i="1"/>
  <c r="A261" i="1"/>
  <c r="C81" i="1"/>
  <c r="B47" i="1"/>
  <c r="A141" i="1"/>
  <c r="C154" i="1"/>
  <c r="B182" i="1"/>
  <c r="A64" i="1"/>
  <c r="C182" i="1"/>
  <c r="A61" i="1"/>
  <c r="B66" i="1"/>
  <c r="B118" i="1"/>
  <c r="B120" i="1"/>
  <c r="B54" i="1"/>
  <c r="A56" i="1"/>
  <c r="C67" i="1"/>
  <c r="C64" i="1"/>
  <c r="C38" i="1"/>
  <c r="B238" i="1"/>
  <c r="B222" i="1"/>
  <c r="A26" i="1"/>
  <c r="C151" i="1"/>
  <c r="A165" i="1"/>
  <c r="B193" i="1"/>
  <c r="B56" i="1"/>
  <c r="B78" i="1"/>
  <c r="C92" i="1"/>
  <c r="B27" i="1"/>
  <c r="A37" i="1"/>
  <c r="B219" i="1"/>
  <c r="A74" i="1"/>
  <c r="C75" i="1"/>
  <c r="C58" i="1"/>
  <c r="C88" i="1"/>
  <c r="C89" i="1"/>
  <c r="B55" i="1"/>
  <c r="A161" i="1"/>
  <c r="C162" i="1"/>
  <c r="C213" i="1"/>
  <c r="B41" i="1"/>
  <c r="A236" i="1"/>
  <c r="C191" i="1"/>
  <c r="B265" i="1"/>
  <c r="A40" i="1"/>
  <c r="B211" i="1"/>
  <c r="A187" i="1"/>
  <c r="C188" i="1"/>
  <c r="B108" i="1"/>
  <c r="C231" i="1"/>
  <c r="C32" i="1"/>
  <c r="B149" i="1"/>
  <c r="A259" i="1"/>
  <c r="C155" i="1"/>
  <c r="B80" i="1"/>
  <c r="A87" i="1"/>
  <c r="C156" i="1"/>
  <c r="B244" i="1"/>
  <c r="A39" i="1"/>
  <c r="A95" i="1"/>
  <c r="A265" i="1"/>
  <c r="C179" i="1"/>
  <c r="C123" i="1"/>
  <c r="B208" i="1"/>
  <c r="C203" i="1"/>
  <c r="C261" i="1"/>
  <c r="C99" i="1"/>
  <c r="A169" i="1"/>
  <c r="C170" i="1"/>
  <c r="A191" i="1"/>
  <c r="C73" i="1"/>
  <c r="A44" i="1"/>
  <c r="A251" i="1"/>
  <c r="A253" i="1"/>
  <c r="C94" i="1"/>
  <c r="B95" i="1"/>
  <c r="B59" i="1"/>
  <c r="C165" i="1"/>
  <c r="A217" i="1"/>
  <c r="C218" i="1"/>
  <c r="B161" i="1"/>
  <c r="A45" i="1"/>
  <c r="C41" i="1"/>
  <c r="B236" i="1"/>
  <c r="A167" i="1"/>
  <c r="A103" i="1"/>
  <c r="B226" i="1"/>
  <c r="A35" i="1"/>
  <c r="C36" i="1"/>
  <c r="B130" i="1"/>
  <c r="A263" i="1"/>
  <c r="C237" i="1"/>
  <c r="B121" i="1"/>
  <c r="B123" i="1"/>
  <c r="B242" i="1"/>
  <c r="A31" i="1"/>
  <c r="A120" i="1"/>
  <c r="B142" i="1"/>
  <c r="A48" i="1"/>
  <c r="C207" i="1"/>
  <c r="B48" i="1"/>
  <c r="B256" i="1"/>
  <c r="A200" i="1"/>
  <c r="A92" i="1"/>
  <c r="C66" i="1"/>
  <c r="B218" i="1"/>
  <c r="B148" i="1"/>
  <c r="A65" i="1"/>
  <c r="A82" i="1"/>
  <c r="C84" i="1"/>
  <c r="B92" i="1"/>
  <c r="C148" i="1"/>
  <c r="C25" i="1"/>
  <c r="C51" i="1"/>
  <c r="C245" i="1"/>
  <c r="C233" i="1"/>
  <c r="A185" i="1"/>
  <c r="B143" i="1"/>
  <c r="C131" i="1"/>
  <c r="B90" i="1"/>
  <c r="A28" i="1"/>
  <c r="C29" i="1"/>
  <c r="B162" i="1"/>
  <c r="B241" i="1"/>
  <c r="B213" i="1"/>
  <c r="B191" i="1"/>
  <c r="C225" i="1"/>
  <c r="B26" i="1"/>
  <c r="A197" i="1"/>
  <c r="C198" i="1"/>
  <c r="B97" i="1"/>
  <c r="A140" i="1"/>
  <c r="C153" i="1"/>
  <c r="B63" i="1"/>
  <c r="A224" i="1"/>
  <c r="C95" i="1"/>
  <c r="B150" i="1"/>
  <c r="A96" i="1"/>
  <c r="C59" i="1"/>
  <c r="B164" i="1"/>
  <c r="B217" i="1"/>
  <c r="B40" i="1"/>
  <c r="A77" i="1"/>
  <c r="C211" i="1"/>
  <c r="A107" i="1"/>
  <c r="C108" i="1"/>
  <c r="B230" i="1"/>
  <c r="A69" i="1"/>
  <c r="B74" i="1"/>
  <c r="B214" i="1"/>
  <c r="B68" i="1"/>
  <c r="C53" i="1"/>
  <c r="B170" i="1"/>
  <c r="A129" i="1"/>
  <c r="A89" i="1"/>
  <c r="B245" i="1"/>
  <c r="A219" i="1"/>
  <c r="A209" i="1"/>
  <c r="C78" i="1"/>
  <c r="C102" i="1"/>
  <c r="C40" i="1"/>
  <c r="C112" i="1"/>
  <c r="C72" i="1"/>
  <c r="C230" i="1"/>
  <c r="C175" i="1"/>
  <c r="B115" i="1"/>
  <c r="A181" i="1"/>
  <c r="C250" i="1"/>
  <c r="B71" i="1"/>
  <c r="A183" i="1"/>
  <c r="B61" i="1"/>
  <c r="A62" i="1"/>
  <c r="C26" i="1"/>
  <c r="B197" i="1"/>
  <c r="A86" i="1"/>
  <c r="C97" i="1"/>
  <c r="B140" i="1"/>
  <c r="A98" i="1"/>
  <c r="C63" i="1"/>
  <c r="A160" i="1"/>
  <c r="C161" i="1"/>
  <c r="A203" i="1"/>
  <c r="B45" i="1"/>
  <c r="A243" i="1"/>
  <c r="C236" i="1"/>
  <c r="B167" i="1"/>
  <c r="A99" i="1"/>
  <c r="C238" i="1"/>
  <c r="B25" i="1"/>
  <c r="B146" i="1"/>
  <c r="A67" i="1"/>
  <c r="B114" i="1"/>
  <c r="B110" i="1"/>
  <c r="C195" i="1"/>
  <c r="A97" i="1"/>
  <c r="B228" i="1"/>
  <c r="B131" i="1"/>
  <c r="A52" i="1"/>
  <c r="B73" i="1"/>
  <c r="C248" i="1"/>
  <c r="C228" i="1"/>
  <c r="B205" i="1"/>
  <c r="A177" i="1"/>
  <c r="C122" i="1"/>
  <c r="A49" i="1"/>
  <c r="C143" i="1"/>
  <c r="C27" i="1"/>
  <c r="C205" i="1"/>
  <c r="C90" i="1"/>
  <c r="B202" i="1"/>
  <c r="A85" i="1"/>
  <c r="C241" i="1"/>
  <c r="A81" i="1"/>
  <c r="B264" i="1"/>
  <c r="A154" i="1"/>
  <c r="C115" i="1"/>
  <c r="B181" i="1"/>
  <c r="A112" i="1"/>
  <c r="C71" i="1"/>
  <c r="B183" i="1"/>
  <c r="A72" i="1"/>
  <c r="C61" i="1"/>
  <c r="B62" i="1"/>
  <c r="A175" i="1"/>
  <c r="B224" i="1"/>
  <c r="A137" i="1"/>
  <c r="C150" i="1"/>
  <c r="B96" i="1"/>
  <c r="A163" i="1"/>
  <c r="C164" i="1"/>
  <c r="A216" i="1"/>
  <c r="C217" i="1"/>
  <c r="B2" i="1"/>
  <c r="A2" i="1"/>
  <c r="C2" i="1"/>
  <c r="D5" i="2"/>
  <c r="D6" i="2" l="1"/>
  <c r="D7" i="2" l="1"/>
  <c r="D8" i="2" l="1"/>
  <c r="I364" i="5" l="1"/>
  <c r="I363" i="5"/>
  <c r="E6" i="1"/>
  <c r="E14" i="1"/>
  <c r="E22" i="1"/>
  <c r="E15" i="1"/>
  <c r="E7" i="1"/>
  <c r="E9" i="1"/>
  <c r="E17" i="1"/>
  <c r="E2" i="1"/>
  <c r="E10" i="1"/>
  <c r="E18" i="1"/>
  <c r="E21" i="1"/>
  <c r="E13" i="1"/>
  <c r="E5" i="1"/>
  <c r="E3" i="1"/>
  <c r="E11" i="1"/>
  <c r="E19" i="1"/>
  <c r="E16" i="1"/>
  <c r="E8" i="1"/>
  <c r="E4" i="1"/>
  <c r="E12" i="1"/>
  <c r="E20" i="1"/>
  <c r="F267" i="1" l="1"/>
  <c r="F268" i="1"/>
  <c r="F22" i="1"/>
  <c r="F170" i="1"/>
  <c r="F21" i="1"/>
  <c r="F109" i="1"/>
  <c r="I365" i="5"/>
  <c r="F269" i="1" l="1"/>
  <c r="F20" i="1"/>
  <c r="F156" i="1"/>
  <c r="I366" i="5"/>
  <c r="F270" i="1" l="1"/>
  <c r="F19" i="1"/>
  <c r="F253" i="1"/>
  <c r="I367" i="5"/>
  <c r="F271" i="1" l="1"/>
  <c r="F18" i="1"/>
  <c r="F53" i="1"/>
  <c r="I368" i="5"/>
  <c r="F272" i="1" l="1"/>
  <c r="F17" i="1"/>
  <c r="F182" i="1"/>
  <c r="I369" i="5"/>
  <c r="F273" i="1" l="1"/>
  <c r="F16" i="1"/>
  <c r="F57" i="1"/>
  <c r="I370" i="5"/>
  <c r="F274" i="1" l="1"/>
  <c r="F15" i="1"/>
  <c r="F252" i="1"/>
  <c r="I371" i="5"/>
  <c r="F275" i="1" l="1"/>
  <c r="F14" i="1"/>
  <c r="F46" i="1"/>
  <c r="I372" i="5"/>
  <c r="F276" i="1" l="1"/>
  <c r="F13" i="1"/>
  <c r="F236" i="1"/>
  <c r="I373" i="5"/>
  <c r="F277" i="1" l="1"/>
  <c r="F12" i="1"/>
  <c r="F132" i="1"/>
  <c r="I374" i="5"/>
  <c r="F11" i="1" l="1"/>
  <c r="F278" i="1"/>
  <c r="I375" i="5"/>
  <c r="F279" i="1" l="1"/>
  <c r="F10" i="1"/>
  <c r="F79" i="1"/>
  <c r="I376" i="5"/>
  <c r="F280" i="1" l="1"/>
  <c r="F9" i="1"/>
  <c r="F222" i="1"/>
  <c r="I377" i="5"/>
  <c r="F281" i="1" l="1"/>
  <c r="F8" i="1"/>
  <c r="F29" i="1"/>
  <c r="I378" i="5"/>
  <c r="F282" i="1" l="1"/>
  <c r="F7" i="1"/>
  <c r="F251" i="1"/>
  <c r="I379" i="5"/>
  <c r="F283" i="1" l="1"/>
  <c r="F6" i="1"/>
  <c r="F108" i="1"/>
  <c r="I380" i="5"/>
  <c r="F284" i="1" l="1"/>
  <c r="F5" i="1"/>
  <c r="F207" i="1"/>
  <c r="I381" i="5"/>
  <c r="F285" i="1" l="1"/>
  <c r="F4" i="1"/>
  <c r="F92" i="1"/>
  <c r="I383" i="5"/>
  <c r="I382" i="5"/>
  <c r="F287" i="1" l="1"/>
  <c r="F286" i="1"/>
  <c r="F3" i="1"/>
  <c r="F167" i="1"/>
  <c r="F2" i="1"/>
  <c r="F26" i="1"/>
</calcChain>
</file>

<file path=xl/sharedStrings.xml><?xml version="1.0" encoding="utf-8"?>
<sst xmlns="http://schemas.openxmlformats.org/spreadsheetml/2006/main" count="1469" uniqueCount="680">
  <si>
    <t>대분류</t>
    <phoneticPr fontId="1" type="noConversion"/>
  </si>
  <si>
    <t>중분류</t>
    <phoneticPr fontId="1" type="noConversion"/>
  </si>
  <si>
    <t>소분류</t>
    <phoneticPr fontId="1" type="noConversion"/>
  </si>
  <si>
    <t>문항번호</t>
    <phoneticPr fontId="1" type="noConversion"/>
  </si>
  <si>
    <t>문항주소</t>
    <phoneticPr fontId="1" type="noConversion"/>
  </si>
  <si>
    <t>정답</t>
    <phoneticPr fontId="1" type="noConversion"/>
  </si>
  <si>
    <t>해설주소</t>
    <phoneticPr fontId="1" type="noConversion"/>
  </si>
  <si>
    <t>과목</t>
    <phoneticPr fontId="1" type="noConversion"/>
  </si>
  <si>
    <t>난이도</t>
    <phoneticPr fontId="1" type="noConversion"/>
  </si>
  <si>
    <t>중요도</t>
    <phoneticPr fontId="1" type="noConversion"/>
  </si>
  <si>
    <t>수학Ⅰ</t>
  </si>
  <si>
    <t>지수함수와 로그함수</t>
  </si>
  <si>
    <t>지수와 로그</t>
  </si>
  <si>
    <t>삼각함수</t>
  </si>
  <si>
    <t>수열</t>
  </si>
  <si>
    <t>등차수열과 등비수열</t>
  </si>
  <si>
    <t>수열의 합</t>
  </si>
  <si>
    <t>수학적 귀납법</t>
  </si>
  <si>
    <t>수학Ⅱ</t>
  </si>
  <si>
    <t>함수의 극한과 연속</t>
  </si>
  <si>
    <t>함수의 극한</t>
  </si>
  <si>
    <t>함수의 연속</t>
  </si>
  <si>
    <t>미분</t>
  </si>
  <si>
    <t>도함수</t>
  </si>
  <si>
    <t>도함수의 활용</t>
  </si>
  <si>
    <t>적분</t>
  </si>
  <si>
    <t>부정적분</t>
  </si>
  <si>
    <t>정적분</t>
  </si>
  <si>
    <t>사인법칙과 코사인법칙</t>
  </si>
  <si>
    <t>지수함수의 그래프</t>
  </si>
  <si>
    <t>지수함수의 그래프</t>
    <phoneticPr fontId="1" type="noConversion"/>
  </si>
  <si>
    <t>로그함수의 그래프</t>
  </si>
  <si>
    <t>로그함수의 그래프</t>
    <phoneticPr fontId="1" type="noConversion"/>
  </si>
  <si>
    <t>삼각함수의 그래프</t>
  </si>
  <si>
    <t>삼각함수의 그래프</t>
    <phoneticPr fontId="1" type="noConversion"/>
  </si>
  <si>
    <t>사인법칙과 코사인법칙</t>
    <phoneticPr fontId="1" type="noConversion"/>
  </si>
  <si>
    <t>등차수열</t>
  </si>
  <si>
    <t>등차수열</t>
    <phoneticPr fontId="1" type="noConversion"/>
  </si>
  <si>
    <t>등비수열</t>
  </si>
  <si>
    <t>등비수열</t>
    <phoneticPr fontId="1" type="noConversion"/>
  </si>
  <si>
    <t>시그마의 뜻과 성질</t>
  </si>
  <si>
    <t>시그마의 뜻과 성질</t>
    <phoneticPr fontId="1" type="noConversion"/>
  </si>
  <si>
    <t>수열의 합과 일반항 사이의 관계</t>
  </si>
  <si>
    <t>수열의 합과 일반항 사이의 관계</t>
    <phoneticPr fontId="1" type="noConversion"/>
  </si>
  <si>
    <t>수열의 귀납적 정의</t>
  </si>
  <si>
    <t>수열의 귀납적 정의</t>
    <phoneticPr fontId="1" type="noConversion"/>
  </si>
  <si>
    <t>수학적 귀납법</t>
    <phoneticPr fontId="1" type="noConversion"/>
  </si>
  <si>
    <t>함수의 연속</t>
    <phoneticPr fontId="1" type="noConversion"/>
  </si>
  <si>
    <t>미분계수와 도함수</t>
  </si>
  <si>
    <t>미분계수와 도함수</t>
    <phoneticPr fontId="1" type="noConversion"/>
  </si>
  <si>
    <t>접선의 방정식</t>
  </si>
  <si>
    <t>접선의 방정식</t>
    <phoneticPr fontId="1" type="noConversion"/>
  </si>
  <si>
    <t>속도와 가속도</t>
  </si>
  <si>
    <t>속도와 가속도</t>
    <phoneticPr fontId="1" type="noConversion"/>
  </si>
  <si>
    <t>부정적분</t>
    <phoneticPr fontId="1" type="noConversion"/>
  </si>
  <si>
    <t>정적분</t>
    <phoneticPr fontId="1" type="noConversion"/>
  </si>
  <si>
    <t>곡선 사이의 넓이</t>
  </si>
  <si>
    <t>곡선 사이의 넓이</t>
    <phoneticPr fontId="1" type="noConversion"/>
  </si>
  <si>
    <t>속도와 거리</t>
  </si>
  <si>
    <t>속도와 거리</t>
    <phoneticPr fontId="1" type="noConversion"/>
  </si>
  <si>
    <t>거듭제곱근</t>
  </si>
  <si>
    <t>거듭제곱근</t>
    <phoneticPr fontId="1" type="noConversion"/>
  </si>
  <si>
    <t>지수의 연산</t>
  </si>
  <si>
    <t>지수의 연산</t>
    <phoneticPr fontId="1" type="noConversion"/>
  </si>
  <si>
    <t>로그의 연산</t>
  </si>
  <si>
    <t>로그의 연산</t>
    <phoneticPr fontId="1" type="noConversion"/>
  </si>
  <si>
    <t>지수, 로그가 정수가 되기 위한 조건</t>
  </si>
  <si>
    <t>지수, 로그가 정수가 되기 위한 조건</t>
    <phoneticPr fontId="1" type="noConversion"/>
  </si>
  <si>
    <t>방정식과 부등식에의 활용</t>
  </si>
  <si>
    <t>방정식과 부등식에의 활용</t>
    <phoneticPr fontId="1" type="noConversion"/>
  </si>
  <si>
    <t>제한된 범위에서 최대 또는 최소</t>
  </si>
  <si>
    <t>제한된 범위에서 최대 또는 최소</t>
    <phoneticPr fontId="1" type="noConversion"/>
  </si>
  <si>
    <t>명제의 진위 판단</t>
  </si>
  <si>
    <t>명제의 진위 판단</t>
    <phoneticPr fontId="1" type="noConversion"/>
  </si>
  <si>
    <t>그래프에서 도형의 성질</t>
  </si>
  <si>
    <t>그래프에서 도형의 성질</t>
    <phoneticPr fontId="1" type="noConversion"/>
  </si>
  <si>
    <t>삼각함수의 값</t>
  </si>
  <si>
    <t>삼각함수의 값</t>
    <phoneticPr fontId="1" type="noConversion"/>
  </si>
  <si>
    <t>함수의 최대 또는 최소</t>
  </si>
  <si>
    <t>함수의 최대 또는 최소</t>
    <phoneticPr fontId="1" type="noConversion"/>
  </si>
  <si>
    <t>소거되는 형태의 수열의 합</t>
    <phoneticPr fontId="1" type="noConversion"/>
  </si>
  <si>
    <t>함수의 극한</t>
    <phoneticPr fontId="1" type="noConversion"/>
  </si>
  <si>
    <t>그래프와 도형의 성질에 관한 극한</t>
  </si>
  <si>
    <t>그래프와 도형의 성질에 관한 극한</t>
    <phoneticPr fontId="1" type="noConversion"/>
  </si>
  <si>
    <t>곱함수의 연속</t>
  </si>
  <si>
    <t>곱함수의 연속</t>
    <phoneticPr fontId="1" type="noConversion"/>
  </si>
  <si>
    <t>조건을 만족하는 함수의 추론</t>
  </si>
  <si>
    <t>조건을 만족하는 함수의 추론</t>
    <phoneticPr fontId="1" type="noConversion"/>
  </si>
  <si>
    <t>곱함수의 미분법</t>
  </si>
  <si>
    <t>곱함수의 미분법</t>
    <phoneticPr fontId="1" type="noConversion"/>
  </si>
  <si>
    <t>도함수</t>
    <phoneticPr fontId="1" type="noConversion"/>
  </si>
  <si>
    <t>방정식에의 활용</t>
    <phoneticPr fontId="1" type="noConversion"/>
  </si>
  <si>
    <t>부등식에의 활용</t>
    <phoneticPr fontId="1" type="noConversion"/>
  </si>
  <si>
    <t>그래프의 개형</t>
  </si>
  <si>
    <t>그래프의 개형</t>
    <phoneticPr fontId="1" type="noConversion"/>
  </si>
  <si>
    <t>미분가능성</t>
  </si>
  <si>
    <t>미분가능성</t>
    <phoneticPr fontId="1" type="noConversion"/>
  </si>
  <si>
    <t>미적분학의 기본 정리</t>
  </si>
  <si>
    <t>미적분학의 기본 정리</t>
    <phoneticPr fontId="1" type="noConversion"/>
  </si>
  <si>
    <t>수학Ⅰ-지수함수와 로그함수-지수와 로그-지수의 연산</t>
  </si>
  <si>
    <t>수학Ⅰ-수열-등차수열과 등비수열-등비수열</t>
  </si>
  <si>
    <t>수학Ⅱ-미분-도함수-미분계수와 도함수</t>
  </si>
  <si>
    <t>수학Ⅱ-함수의 극한과 연속-함수의 연속-함수의 연속</t>
  </si>
  <si>
    <t>수학Ⅰ-삼각함수-삼각함수-삼각함수의 값</t>
  </si>
  <si>
    <t>수학Ⅱ-적분-정적분-미적분학의 기본 정리</t>
  </si>
  <si>
    <t>수학Ⅰ-지수함수와 로그함수-지수와 로그-로그의 연산</t>
  </si>
  <si>
    <t>수학Ⅰ-삼각함수-삼각함수-함수의 최대 또는 최소</t>
  </si>
  <si>
    <t>수학Ⅱ-적분-정적분-정적분</t>
  </si>
  <si>
    <t>수학Ⅱ-미분-도함수의 활용-속도와 가속도</t>
  </si>
  <si>
    <t>수학Ⅰ-수열-수열의 합-수열의 합과 일반항 사이의 관계</t>
  </si>
  <si>
    <t>수학Ⅱ-적분-정적분-곡선 사이의 넓이</t>
  </si>
  <si>
    <t>https://ebsi.co.kr/ebs/lms/player/retrieveLmsPlayerHtml5Simple.ebs?medUrl=https://WSTR.ebsi.co.kr/M41M2401/S20240000737/S20240000737_1M4_100030059807.mp4&amp;strStartTm=99&amp;pType=2</t>
    <phoneticPr fontId="1" type="noConversion"/>
  </si>
  <si>
    <t>https://ebsi.co.kr/ebs/lms/player/retrieveLmsPlayerHtml5Simple.ebs?medUrl=https://WSTR.ebsi.co.kr/M41M2401/S20240000737/S20240000737_1M4_100030059808.mp4&amp;strStartTm=197&amp;pType=2</t>
    <phoneticPr fontId="1" type="noConversion"/>
  </si>
  <si>
    <t>https://ebsi.co.kr/ebs/lms/player/retrieveLmsPlayerHtml5Simple.ebs?medUrl=https://WSTR.ebsi.co.kr/M41M2401/S20240000737/S20240000737_1M4_100030059807.mp4&amp;strStartTm=160&amp;pType=2</t>
    <phoneticPr fontId="1" type="noConversion"/>
  </si>
  <si>
    <t>https://ebsi.co.kr/ebs/lms/player/retrieveLmsPlayerHtml5Simple.ebs?medUrl=https://WSTR.ebsi.co.kr/M41M2401/S20240000737/S20240000737_1M4_100030059808.mp4&amp;strStartTm=245&amp;pType=2</t>
    <phoneticPr fontId="1" type="noConversion"/>
  </si>
  <si>
    <t>https://ebsi.co.kr/ebs/lms/player/retrieveLmsPlayerHtml5Simple.ebs?medUrl=https://WSTR.ebsi.co.kr/M41M2401/S20240000737/S20240000737_1M4_100030059807.mp4&amp;strStartTm=286&amp;pType=2</t>
    <phoneticPr fontId="1" type="noConversion"/>
  </si>
  <si>
    <t>https://ebsi.co.kr/ebs/lms/player/retrieveLmsPlayerHtml5Simple.ebs?medUrl=https://WSTR.ebsi.co.kr/M41M2401/S20240000737/S20240000737_1M4_100030059808.mp4&amp;strStartTm=346&amp;pType=2</t>
    <phoneticPr fontId="1" type="noConversion"/>
  </si>
  <si>
    <t>https://ebsi.co.kr/ebs/lms/player/retrieveLmsPlayerHtml5Simple.ebs?medUrl=https://WSTR.ebsi.co.kr/M41M2401/S20240000737/S20240000737_1M4_100030059808.mp4&amp;strStartTm=410&amp;pType=2</t>
    <phoneticPr fontId="1" type="noConversion"/>
  </si>
  <si>
    <t>https://ebsi.co.kr/ebs/lms/player/retrieveLmsPlayerHtml5Simple.ebs?medUrl=https://WSTR.ebsi.co.kr/M41M2401/S20240000737/S20240000737_1M4_100030059807.mp4&amp;strStartTm=401&amp;pType=2</t>
    <phoneticPr fontId="1" type="noConversion"/>
  </si>
  <si>
    <t>https://ebsi.co.kr/ebs/lms/player/retrieveLmsPlayerHtml5Simple.ebs?medUrl=https://WSTR.ebsi.co.kr/M41M2401/S20240000737/S20240000737_1M4_100030059808.mp4&amp;strStartTm=569&amp;pType=2</t>
    <phoneticPr fontId="1" type="noConversion"/>
  </si>
  <si>
    <t>https://ebsi.co.kr/ebs/lms/player/retrieveLmsPlayerHtml5Simple.ebs?medUrl=https://WSTR.ebsi.co.kr/M41M2401/S20240000737/S20240000737_1M4_100030059807.mp4&amp;strStartTm=636&amp;pType=2</t>
    <phoneticPr fontId="1" type="noConversion"/>
  </si>
  <si>
    <t>https://ebsi.co.kr/ebs/lms/player/retrieveLmsPlayerHtml5Simple.ebs?medUrl=https://WSTR.ebsi.co.kr/M41M2401/S20240000737/S20240000737_1M4_100030059808.mp4&amp;strStartTm=839&amp;pType=2</t>
    <phoneticPr fontId="1" type="noConversion"/>
  </si>
  <si>
    <t>https://ebsi.co.kr/ebs/lms/player/retrieveLmsPlayerHtml5Simple.ebs?medUrl=https://WSTR.ebsi.co.kr/M41M2401/S20240000737/S20240000737_1M4_100030059807.mp4&amp;strStartTm=1005&amp;pType=2</t>
    <phoneticPr fontId="1" type="noConversion"/>
  </si>
  <si>
    <t>https://ebsi.co.kr/ebs/lms/player/retrieveLmsPlayerHtml5Simple.ebs?medUrl=https://WSTR.ebsi.co.kr/M41M2401/S20240000737/S20240000737_1M4_100030059808.mp4&amp;strStartTm=1057&amp;pType=2</t>
    <phoneticPr fontId="1" type="noConversion"/>
  </si>
  <si>
    <t>https://ebsi.co.kr/ebs/lms/player/retrieveLmsPlayerHtml5Simple.ebs?medUrl=https://WSTR.ebsi.co.kr/M41M2401/S20240000737/S20240000737_1M4_100030059807.mp4&amp;strStartTm=1356&amp;pType=2</t>
    <phoneticPr fontId="1" type="noConversion"/>
  </si>
  <si>
    <t>https://ebsi.co.kr/ebs/lms/player/retrieveLmsPlayerHtml5Simple.ebs?medUrl=https://WSTR.ebsi.co.kr/M41M2401/S20240000737/S20240000737_1M4_100030059808.mp4&amp;strStartTm=1672&amp;pType=2</t>
    <phoneticPr fontId="1" type="noConversion"/>
  </si>
  <si>
    <t>https://ebsi.co.kr/ebs/lms/player/retrieveLmsPlayerHtml5Simple.ebs?medUrl=https://WSTR.ebsi.co.kr/M41M2401/S20240000737/S20240000737_1M4_100030059807.mp4&amp;strStartTm=2032&amp;pType=2</t>
    <phoneticPr fontId="1" type="noConversion"/>
  </si>
  <si>
    <t>https://ebsi.co.kr/ebs/lms/player/retrieveLmsPlayerHtml5Simple.ebs?medUrl=https://WSTR.ebsi.co.kr/M41M2401/S20240000737/S20240000737_1M4_100030059808.mp4&amp;strStartTm=2898&amp;pType=2</t>
    <phoneticPr fontId="1" type="noConversion"/>
  </si>
  <si>
    <t>https://ebsi.co.kr/ebs/lms/player/retrieveLmsPlayerHtml5Simple.ebs?medUrl=https://WSTR.ebsi.co.kr/M41M2401/S20240000737/S20240000737_1M4_100030059807.mp4&amp;strStartTm=2142&amp;pType=2</t>
    <phoneticPr fontId="1" type="noConversion"/>
  </si>
  <si>
    <t>https://ebsi.co.kr/ebs/lms/player/retrieveLmsPlayerHtml5Simple.ebs?medUrl=https://WSTR.ebsi.co.kr/M41M2401/S20240000737/S20240000737_1M4_100030059808.mp4&amp;strStartTm=2959&amp;pType=2</t>
    <phoneticPr fontId="1" type="noConversion"/>
  </si>
  <si>
    <t>https://ebsi.co.kr/ebs/lms/player/retrieveLmsPlayerHtml5Simple.ebs?medUrl=https://WSTR.ebsi.co.kr/M41M2401/S20240000737/S20240000737_1M4_100030059807.mp4&amp;strStartTm=2250&amp;pType=2</t>
    <phoneticPr fontId="1" type="noConversion"/>
  </si>
  <si>
    <t>https://ebsi.co.kr/ebs/lms/player/retrieveLmsPlayerHtml5Simple.ebs?medUrl=https://WSTR.ebsi.co.kr/M41M2401/S20240000737/S20240000737_1M4_100030059808.mp4&amp;strStartTm=3174&amp;pType=2</t>
    <phoneticPr fontId="1" type="noConversion"/>
  </si>
  <si>
    <t>https://ebsi.co.kr/ebs/lms/player/retrieveLmsPlayerHtml5Simple.ebs?medUrl=https://WSTR.ebsi.co.kr/M41M2401/S20240000737/S20240000737_1M4_100030059807.mp4&amp;strStartTm=2646&amp;pType=2</t>
    <phoneticPr fontId="1" type="noConversion"/>
  </si>
  <si>
    <t>수학Ⅰ-삼각함수-삼각함수-사인법칙과 코사인법칙</t>
  </si>
  <si>
    <t>수학Ⅱ-미분-도함수-미분가능성</t>
  </si>
  <si>
    <t>수학Ⅰ-지수함수와 로그함수-지수함수와 로그함수-방정식과 부등식에의 활용</t>
  </si>
  <si>
    <t>수학Ⅱ-적분-부정적분-부정적분</t>
  </si>
  <si>
    <t>수학Ⅰ-수열-수학적 귀납법-수열의 귀납적 정의</t>
  </si>
  <si>
    <t>수학Ⅰ-지수함수와 로그함수-지수함수와 로그함수-지수함수의 그래프</t>
  </si>
  <si>
    <t>수학Ⅱ-함수의 극한과 연속-함수의 극한-함수의 극한</t>
  </si>
  <si>
    <t>수학Ⅱ-미분-도함수의 활용-그래프의 개형</t>
  </si>
  <si>
    <t>♥</t>
    <phoneticPr fontId="1" type="noConversion"/>
  </si>
  <si>
    <t>♥♥</t>
    <phoneticPr fontId="1" type="noConversion"/>
  </si>
  <si>
    <t>♥♥♥</t>
    <phoneticPr fontId="1" type="noConversion"/>
  </si>
  <si>
    <t>♥♥♥♥</t>
    <phoneticPr fontId="1" type="noConversion"/>
  </si>
  <si>
    <t>♥♥♥♥♥</t>
    <phoneticPr fontId="1" type="noConversion"/>
  </si>
  <si>
    <t>수학Ⅱ-미분-도함수-곱함수의 미분법</t>
  </si>
  <si>
    <t>여러 가지 수열의 합</t>
    <phoneticPr fontId="1" type="noConversion"/>
  </si>
  <si>
    <t>수학Ⅰ-수열-수열의 합-여러 가지 수열의 합</t>
  </si>
  <si>
    <t>수학Ⅰ-지수함수와 로그함수-지수함수와 로그함수-그래프에서 도형의 성질</t>
  </si>
  <si>
    <t>수학Ⅰ-수열-수열의 합-시그마의 뜻과 성질</t>
  </si>
  <si>
    <t>극대와 극소</t>
    <phoneticPr fontId="1" type="noConversion"/>
  </si>
  <si>
    <t>함수의 추론</t>
    <phoneticPr fontId="1" type="noConversion"/>
  </si>
  <si>
    <t>수학Ⅱ-미분-도함수의 활용-극대와 극소</t>
  </si>
  <si>
    <t>수학Ⅰ-삼각함수-삼각함수-방정식과 부등식에의 활용</t>
  </si>
  <si>
    <t>수학Ⅱ-미분-도함수의 활용-함수의 추론</t>
  </si>
  <si>
    <t>수학Ⅱ-미분-도함수의 활용-방정식과 부등식에의 활용</t>
  </si>
  <si>
    <t>수학Ⅱ-미분-도함수의 활용-접선의 방정식</t>
  </si>
  <si>
    <t>수학Ⅱ-적분-정적분-속도와 거리</t>
  </si>
  <si>
    <t>수학Ⅰ-삼각함수-삼각함수-삼각함수의 그래프</t>
  </si>
  <si>
    <t>수학Ⅰ-지수함수와 로그함수-지수함수와 로그함수-제한된 범위에서 최대 또는 최소</t>
  </si>
  <si>
    <t>수학Ⅰ-지수함수와 로그함수-지수함수와 로그함수-로그함수의 그래프</t>
  </si>
  <si>
    <t>수학Ⅱ-함수의 극한과 연속-함수의 극한-그래프와 도형의 성질에 관한 극한</t>
  </si>
  <si>
    <t>수학Ⅰ-수열-등차수열과 등비수열-등차수열</t>
  </si>
  <si>
    <t>수학Ⅰ-지수함수와 로그함수-지수함수와 로그함수-명제의 진위 판단</t>
  </si>
  <si>
    <t>수학Ⅰ-지수함수와 로그함수-지수와 로그-거듭제곱근</t>
  </si>
  <si>
    <t>수학Ⅰ-지수함수와 로그함수-지수함수와 로그함수-지수, 로그가 정수가 되기 위한 조건</t>
  </si>
  <si>
    <t>수학Ⅰ-수열-수학적 귀납법-수학적 귀납법</t>
  </si>
  <si>
    <t>수학Ⅱ-함수의 극한과 연속-함수의 연속-곱함수의 연속</t>
  </si>
  <si>
    <t>수학Ⅱ-함수의 극한과 연속-함수의 연속-조건을 만족하는 함수의 추론</t>
  </si>
  <si>
    <t>수학Ⅱ-적분-정적분-명제의 진위 판단</t>
  </si>
  <si>
    <t xml:space="preserve">A. </t>
    <phoneticPr fontId="1" type="noConversion"/>
  </si>
  <si>
    <t xml:space="preserve">B. </t>
    <phoneticPr fontId="1" type="noConversion"/>
  </si>
  <si>
    <t xml:space="preserve">C. </t>
    <phoneticPr fontId="1" type="noConversion"/>
  </si>
  <si>
    <t xml:space="preserve">D. </t>
    <phoneticPr fontId="1" type="noConversion"/>
  </si>
  <si>
    <t xml:space="preserve">E. </t>
    <phoneticPr fontId="1" type="noConversion"/>
  </si>
  <si>
    <t xml:space="preserve">F. </t>
    <phoneticPr fontId="1" type="noConversion"/>
  </si>
  <si>
    <t xml:space="preserve">G. </t>
    <phoneticPr fontId="1" type="noConversion"/>
  </si>
  <si>
    <t xml:space="preserve">H. </t>
    <phoneticPr fontId="1" type="noConversion"/>
  </si>
  <si>
    <t xml:space="preserve">I. </t>
    <phoneticPr fontId="1" type="noConversion"/>
  </si>
  <si>
    <t xml:space="preserve">J. </t>
    <phoneticPr fontId="1" type="noConversion"/>
  </si>
  <si>
    <t xml:space="preserve">K. </t>
    <phoneticPr fontId="1" type="noConversion"/>
  </si>
  <si>
    <t xml:space="preserve">L. </t>
    <phoneticPr fontId="1" type="noConversion"/>
  </si>
  <si>
    <t>A. 지수와 로그</t>
  </si>
  <si>
    <t>B. 지수함수와 로그함수</t>
  </si>
  <si>
    <t>C. 삼각함수</t>
  </si>
  <si>
    <t>D. 등차수열과 등비수열</t>
  </si>
  <si>
    <t>E. 수열의 합</t>
  </si>
  <si>
    <t>F. 수학적 귀납법</t>
  </si>
  <si>
    <t>G. 함수의 극한</t>
  </si>
  <si>
    <t>H. 함수의 연속</t>
  </si>
  <si>
    <t>I. 도함수</t>
  </si>
  <si>
    <t>J. 도함수의 활용</t>
  </si>
  <si>
    <t>K. 부정적분</t>
  </si>
  <si>
    <t>L. 정적분</t>
  </si>
  <si>
    <t>수학Ⅰ-지수함수와 로그함수-A. 지수와 로그-거듭제곱근</t>
  </si>
  <si>
    <t>수학Ⅰ-지수함수와 로그함수-A. 지수와 로그-지수의 연산</t>
  </si>
  <si>
    <t>수학Ⅰ-지수함수와 로그함수-A. 지수와 로그-로그의 연산</t>
  </si>
  <si>
    <t>수학Ⅰ-지수함수와 로그함수-B. 지수함수와 로그함수-지수함수의 그래프</t>
  </si>
  <si>
    <t>수학Ⅰ-지수함수와 로그함수-B. 지수함수와 로그함수-로그함수의 그래프</t>
  </si>
  <si>
    <t>수학Ⅰ-지수함수와 로그함수-B. 지수함수와 로그함수-방정식과 부등식에의 활용</t>
  </si>
  <si>
    <t>수학Ⅰ-지수함수와 로그함수-B. 지수함수와 로그함수-제한된 범위에서 최대 또는 최소</t>
  </si>
  <si>
    <t>수학Ⅰ-지수함수와 로그함수-B. 지수함수와 로그함수-지수, 로그가 정수가 되기 위한 조건</t>
  </si>
  <si>
    <t>수학Ⅰ-지수함수와 로그함수-B. 지수함수와 로그함수-명제의 진위 판단</t>
  </si>
  <si>
    <t>수학Ⅰ-지수함수와 로그함수-B. 지수함수와 로그함수-그래프에서 도형의 성질</t>
  </si>
  <si>
    <t>수학Ⅰ-삼각함수-C. 삼각함수-삼각함수의 그래프</t>
  </si>
  <si>
    <t>수학Ⅰ-삼각함수-C. 삼각함수-삼각함수의 값</t>
  </si>
  <si>
    <t>수학Ⅰ-삼각함수-C. 삼각함수-방정식과 부등식에의 활용</t>
  </si>
  <si>
    <t>수학Ⅰ-삼각함수-C. 삼각함수-함수의 최대 또는 최소</t>
  </si>
  <si>
    <t>수학Ⅰ-삼각함수-C. 삼각함수-사인법칙과 코사인법칙</t>
  </si>
  <si>
    <t>수학Ⅰ-수열-D. 등차수열과 등비수열-등차수열</t>
  </si>
  <si>
    <t>수학Ⅰ-수열-D. 등차수열과 등비수열-등비수열</t>
  </si>
  <si>
    <t>수학Ⅰ-수열-E. 수열의 합-시그마의 뜻과 성질</t>
  </si>
  <si>
    <t>수학Ⅰ-수열-E. 수열의 합-수열의 합과 일반항 사이의 관계</t>
  </si>
  <si>
    <t>수학Ⅰ-수열-E. 수열의 합-여러 가지 수열의 합</t>
  </si>
  <si>
    <t>수학Ⅰ-수열-F. 수학적 귀납법-수열의 귀납적 정의</t>
  </si>
  <si>
    <t>수학Ⅰ-수열-F. 수학적 귀납법-수학적 귀납법</t>
  </si>
  <si>
    <t>수학Ⅱ-함수의 극한과 연속-G. 함수의 극한-함수의 극한</t>
  </si>
  <si>
    <t>수학Ⅱ-함수의 극한과 연속-G. 함수의 극한-그래프와 도형의 성질에 관한 극한</t>
  </si>
  <si>
    <t>수학Ⅱ-함수의 극한과 연속-H. 함수의 연속-함수의 연속</t>
  </si>
  <si>
    <t>수학Ⅱ-함수의 극한과 연속-H. 함수의 연속-곱함수의 연속</t>
  </si>
  <si>
    <t>수학Ⅱ-함수의 극한과 연속-H. 함수의 연속-조건을 만족하는 함수의 추론</t>
  </si>
  <si>
    <t>수학Ⅱ-미분-I. 도함수-미분계수와 도함수</t>
  </si>
  <si>
    <t>수학Ⅱ-미분-I. 도함수-곱함수의 미분법</t>
  </si>
  <si>
    <t>수학Ⅱ-미분-I. 도함수-미분가능성</t>
  </si>
  <si>
    <t>수학Ⅱ-미분-J. 도함수의 활용-접선의 방정식</t>
  </si>
  <si>
    <t>수학Ⅱ-미분-J. 도함수의 활용-방정식과 부등식에의 활용</t>
  </si>
  <si>
    <t>수학Ⅱ-미분-J. 도함수의 활용-극대와 극소</t>
  </si>
  <si>
    <t>수학Ⅱ-미분-J. 도함수의 활용-그래프의 개형</t>
  </si>
  <si>
    <t>수학Ⅱ-미분-J. 도함수의 활용-함수의 추론</t>
  </si>
  <si>
    <t>수학Ⅱ-미분-J. 도함수의 활용-속도와 가속도</t>
  </si>
  <si>
    <t>수학Ⅱ-적분-K. 부정적분-부정적분</t>
  </si>
  <si>
    <t>수학Ⅱ-적분-L. 정적분-정적분</t>
  </si>
  <si>
    <t>수학Ⅱ-적분-L. 정적분-미적분학의 기본 정리</t>
  </si>
  <si>
    <t>수학Ⅱ-적분-L. 정적분-곡선 사이의 넓이</t>
  </si>
  <si>
    <t>수학Ⅱ-적분-L. 정적분-속도와 거리</t>
  </si>
  <si>
    <t>수학Ⅱ-적분-L. 정적분-명제의 진위 판단</t>
  </si>
  <si>
    <t>https://ebsi.co.kr/ebs/lms/player/retrieveLmsPlayerHtml5Simple.ebs?medUrl=https://WSTR.ebsi.co.kr/M41M2401/S20240000528/S20240000528_1M4_100030058240.mp4&amp;strStartTm=137&amp;pType=2</t>
    <phoneticPr fontId="1" type="noConversion"/>
  </si>
  <si>
    <t>https://ebsi.co.kr/ebs/lms/player/retrieveLmsPlayerHtml5Simple.ebs?medUrl=https://WSTR.ebsi.co.kr/M41M2401/S20240000528/S20240000528_1M4_100030058241.mp4&amp;strStartTm=187&amp;pType=2</t>
    <phoneticPr fontId="1" type="noConversion"/>
  </si>
  <si>
    <t>https://ebsi.co.kr/ebs/lms/player/retrieveLmsPlayerHtml5Simple.ebs?medUrl=https://WSTR.ebsi.co.kr/M41M2401/S20240000528/S20240000528_1M4_100030058240.mp4&amp;strStartTm=220&amp;pType=2</t>
    <phoneticPr fontId="1" type="noConversion"/>
  </si>
  <si>
    <t>https://ebsi.co.kr/ebs/lms/player/retrieveLmsPlayerHtml5Simple.ebs?medUrl=https://WSTR.ebsi.co.kr/M41M2401/S20240000528/S20240000528_1M4_100030058241.mp4&amp;strStartTm=418&amp;pType=2</t>
    <phoneticPr fontId="1" type="noConversion"/>
  </si>
  <si>
    <t>https://ebsi.co.kr/ebs/lms/player/retrieveLmsPlayerHtml5Simple.ebs?medUrl=https://WSTR.ebsi.co.kr/M41M2401/S20240000528/S20240000528_1M4_100030058241.mp4&amp;strStartTm=498&amp;pType=2</t>
    <phoneticPr fontId="1" type="noConversion"/>
  </si>
  <si>
    <t>https://ebsi.co.kr/ebs/lms/player/retrieveLmsPlayerHtml5Simple.ebs?medUrl=https://WSTR.ebsi.co.kr/M41M2401/S20240000528/S20240000528_1M4_100030058240.mp4&amp;strStartTm=407&amp;pType=2</t>
    <phoneticPr fontId="1" type="noConversion"/>
  </si>
  <si>
    <t>https://ebsi.co.kr/ebs/lms/player/retrieveLmsPlayerHtml5Simple.ebs?medUrl=https://WSTR.ebsi.co.kr/M41M2401/S20240000528/S20240000528_1M4_100030058241.mp4&amp;strStartTm=582&amp;pType=2</t>
    <phoneticPr fontId="1" type="noConversion"/>
  </si>
  <si>
    <t>https://ebsi.co.kr/ebs/lms/player/retrieveLmsPlayerHtml5Simple.ebs?medUrl=https://WSTR.ebsi.co.kr/M41M2401/S20240000528/S20240000528_1M4_100030058240.mp4&amp;strStartTm=593&amp;pType=2</t>
    <phoneticPr fontId="1" type="noConversion"/>
  </si>
  <si>
    <t>https://ebsi.co.kr/ebs/lms/player/retrieveLmsPlayerHtml5Simple.ebs?medUrl=https://WSTR.ebsi.co.kr/M41M2401/S20240000528/S20240000528_1M4_100030058241.mp4&amp;strStartTm=801&amp;pType=2</t>
    <phoneticPr fontId="1" type="noConversion"/>
  </si>
  <si>
    <t>https://ebsi.co.kr/ebs/lms/player/retrieveLmsPlayerHtml5Simple.ebs?medUrl=https://WSTR.ebsi.co.kr/M41M2401/S20240000528/S20240000528_1M4_100030058240.mp4&amp;strStartTm=790&amp;pType=2</t>
    <phoneticPr fontId="1" type="noConversion"/>
  </si>
  <si>
    <t>https://ebsi.co.kr/ebs/lms/player/retrieveLmsPlayerHtml5Simple.ebs?medUrl=https://WSTR.ebsi.co.kr/M41M2401/S20240000528/S20240000528_1M4_100030058241.mp4&amp;strStartTm=970&amp;pType=2</t>
    <phoneticPr fontId="1" type="noConversion"/>
  </si>
  <si>
    <t>https://ebsi.co.kr/ebs/lms/player/retrieveLmsPlayerHtml5Simple.ebs?medUrl=https://WSTR.ebsi.co.kr/M41M2401/S20240000528/S20240000528_1M4_100030058240.mp4&amp;strStartTm=1229&amp;pType=2</t>
    <phoneticPr fontId="1" type="noConversion"/>
  </si>
  <si>
    <t>https://ebsi.co.kr/ebs/lms/player/retrieveLmsPlayerHtml5Simple.ebs?medUrl=https://WSTR.ebsi.co.kr/M41M2401/S20240000528/S20240000528_1M4_100030058241.mp4&amp;strStartTm=1400&amp;pType=2</t>
    <phoneticPr fontId="1" type="noConversion"/>
  </si>
  <si>
    <t>https://ebsi.co.kr/ebs/lms/player/retrieveLmsPlayerHtml5Simple.ebs?medUrl=https://WSTR.ebsi.co.kr/M41M2401/S20240000528/S20240000528_1M4_100030058240.mp4&amp;strStartTm=1703&amp;pType=2</t>
    <phoneticPr fontId="1" type="noConversion"/>
  </si>
  <si>
    <t>https://ebsi.co.kr/ebs/lms/player/retrieveLmsPlayerHtml5Simple.ebs?medUrl=https://WSTR.ebsi.co.kr/M41M2401/S20240000528/S20240000528_1M4_100030058241.mp4&amp;strStartTm=1831&amp;pType=2</t>
    <phoneticPr fontId="1" type="noConversion"/>
  </si>
  <si>
    <t>https://ebsi.co.kr/ebs/lms/player/retrieveLmsPlayerHtml5Simple.ebs?medUrl=https://WSTR.ebsi.co.kr/M41M2401/S20240000528/S20240000528_1M4_100030058240.mp4&amp;strStartTm=2299&amp;pType=2</t>
    <phoneticPr fontId="1" type="noConversion"/>
  </si>
  <si>
    <t>https://ebsi.co.kr/ebs/lms/player/retrieveLmsPlayerHtml5Simple.ebs?medUrl=https://WSTR.ebsi.co.kr/M41M2401/S20240000528/S20240000528_1M4_100030058241.mp4&amp;strStartTm=2517&amp;pType=2</t>
    <phoneticPr fontId="1" type="noConversion"/>
  </si>
  <si>
    <t>https://ebsi.co.kr/ebs/lms/player/retrieveLmsPlayerHtml5Simple.ebs?medUrl=https://WSTR.ebsi.co.kr/M41M2401/S20240000528/S20240000528_1M4_100030058240.mp4&amp;strStartTm=2420&amp;pType=2</t>
    <phoneticPr fontId="1" type="noConversion"/>
  </si>
  <si>
    <t>https://ebsi.co.kr/ebs/lms/player/retrieveLmsPlayerHtml5Simple.ebs?medUrl=https://WSTR.ebsi.co.kr/M41M2401/S20240000528/S20240000528_1M4_100030058241.mp4&amp;strStartTm=2564&amp;pType=2</t>
    <phoneticPr fontId="1" type="noConversion"/>
  </si>
  <si>
    <t>https://ebsi.co.kr/ebs/lms/player/retrieveLmsPlayerHtml5Simple.ebs?medUrl=https://WSTR.ebsi.co.kr/M41M2401/S20240000528/S20240000528_1M4_100030058240.mp4&amp;strStartTm=2632&amp;pType=2</t>
    <phoneticPr fontId="1" type="noConversion"/>
  </si>
  <si>
    <t>https://ebsi.co.kr/ebs/lms/player/retrieveLmsPlayerHtml5Simple.ebs?medUrl=https://WSTR.ebsi.co.kr/M41M2401/S20240000528/S20240000528_1M4_100030058241.mp4&amp;strStartTm=2800&amp;pType=2</t>
    <phoneticPr fontId="1" type="noConversion"/>
  </si>
  <si>
    <t>https://ebsi.co.kr/ebs/lms/player/retrieveLmsPlayerHtml5Simple.ebs?medUrl=https://WSTR.ebsi.co.kr/M41M2401/S20240000528/S20240000528_1M4_100030058240.mp4&amp;strStartTm=2921&amp;pType=2</t>
    <phoneticPr fontId="1" type="noConversion"/>
  </si>
  <si>
    <t>https://ebsi.co.kr/ebs/lms/player/retrieveLmsPlayerHtml5Simple.ebs?medUrl=https://WSTR.ebsi.co.kr/M41M2401/S20240000260/S20240000260_1M4_100030054380.mp4&amp;strStartTm=66&amp;pType=2</t>
  </si>
  <si>
    <t>https://ebsi.co.kr/ebs/lms/player/retrieveLmsPlayerHtml5Simple.ebs?medUrl=https://WSTR.ebsi.co.kr/M41M2401/S20240000260/S20240000260_1M4_100030054381.mp4&amp;strStartTm=384&amp;pType=2</t>
  </si>
  <si>
    <t>https://ebsi.co.kr/ebs/lms/player/retrieveLmsPlayerHtml5Simple.ebs?medUrl=https://WSTR.ebsi.co.kr/M41M2401/S20240000260/S20240000260_1M4_100030054380.mp4&amp;strStartTm=125&amp;pType=2</t>
  </si>
  <si>
    <t>https://ebsi.co.kr/ebs/lms/player/retrieveLmsPlayerHtml5Simple.ebs?medUrl=https://WSTR.ebsi.co.kr/M41M2401/S20240000260/S20240000260_1M4_100030054381.mp4&amp;strStartTm=522&amp;pType=2</t>
  </si>
  <si>
    <t>https://ebsi.co.kr/ebs/lms/player/retrieveLmsPlayerHtml5Simple.ebs?medUrl=https://WSTR.ebsi.co.kr/M41M2401/S20240000260/S20240000260_1M4_100030054381.mp4&amp;strStartTm=598&amp;pType=2</t>
  </si>
  <si>
    <t>https://ebsi.co.kr/ebs/lms/player/retrieveLmsPlayerHtml5Simple.ebs?medUrl=https://WSTR.ebsi.co.kr/M41M2401/S20240000260/S20240000260_1M4_100030054380.mp4&amp;strStartTm=205&amp;pType=2</t>
  </si>
  <si>
    <t>https://ebsi.co.kr/ebs/lms/player/retrieveLmsPlayerHtml5Simple.ebs?medUrl=https://WSTR.ebsi.co.kr/M41M2401/S20240000260/S20240000260_1M4_100030054381.mp4&amp;strStartTm=686&amp;pType=2</t>
  </si>
  <si>
    <t>https://ebsi.co.kr/ebs/lms/player/retrieveLmsPlayerHtml5Simple.ebs?medUrl=https://WSTR.ebsi.co.kr/M41M2401/S20240000260/S20240000260_1M4_100030054380.mp4&amp;strStartTm=297&amp;pType=2</t>
  </si>
  <si>
    <t>https://ebsi.co.kr/ebs/lms/player/retrieveLmsPlayerHtml5Simple.ebs?medUrl=https://WSTR.ebsi.co.kr/M41M2401/S20240000260/S20240000260_1M4_100030054381.mp4&amp;strStartTm=897&amp;pType=2</t>
  </si>
  <si>
    <t>https://ebsi.co.kr/ebs/lms/player/retrieveLmsPlayerHtml5Simple.ebs?medUrl=https://WSTR.ebsi.co.kr/M41M2401/S20240000260/S20240000260_1M4_100030054380.mp4&amp;strStartTm=510&amp;pType=2</t>
  </si>
  <si>
    <t>https://ebsi.co.kr/ebs/lms/player/retrieveLmsPlayerHtml5Simple.ebs?medUrl=https://WSTR.ebsi.co.kr/M41M2401/S20240000260/S20240000260_1M4_100030054381.mp4&amp;strStartTm=1181&amp;pType=2</t>
  </si>
  <si>
    <t>https://ebsi.co.kr/ebs/lms/player/retrieveLmsPlayerHtml5Simple.ebs?medUrl=https://WSTR.ebsi.co.kr/M41M2401/S20240000260/S20240000260_1M4_100030054380.mp4&amp;strStartTm=989&amp;pType=2</t>
  </si>
  <si>
    <t>https://ebsi.co.kr/ebs/lms/player/retrieveLmsPlayerHtml5Simple.ebs?medUrl=https://WSTR.ebsi.co.kr/M41M2401/S20240000260/S20240000260_1M4_100030054381.mp4&amp;strStartTm=1664&amp;pType=2</t>
  </si>
  <si>
    <t>https://ebsi.co.kr/ebs/lms/player/retrieveLmsPlayerHtml5Simple.ebs?medUrl=https://WSTR.ebsi.co.kr/M41M2401/S20240000260/S20240000260_1M4_100030054380.mp4&amp;strStartTm=1691&amp;pType=2</t>
  </si>
  <si>
    <t>https://ebsi.co.kr/ebs/lms/player/retrieveLmsPlayerHtml5Simple.ebs?medUrl=https://WSTR.ebsi.co.kr/M41M2401/S20240000260/S20240000260_1M4_100030054381.mp4&amp;strStartTm=1944&amp;pType=2</t>
  </si>
  <si>
    <t>https://ebsi.co.kr/ebs/lms/player/retrieveLmsPlayerHtml5Simple.ebs?medUrl=https://WSTR.ebsi.co.kr/M41M2401/S20240000260/S20240000260_1M4_100030054380.mp4&amp;strStartTm=2346&amp;pType=2</t>
  </si>
  <si>
    <t>https://ebsi.co.kr/ebs/lms/player/retrieveLmsPlayerHtml5Simple.ebs?medUrl=https://WSTR.ebsi.co.kr/M41M2401/S20240000260/S20240000260_1M4_100030054381.mp4&amp;strStartTm=3215&amp;pType=2</t>
  </si>
  <si>
    <t>https://ebsi.co.kr/ebs/lms/player/retrieveLmsPlayerHtml5Simple.ebs?medUrl=https://WSTR.ebsi.co.kr/M41M2401/S20240000260/S20240000260_1M4_100030054380.mp4&amp;strStartTm=2417&amp;pType=2</t>
  </si>
  <si>
    <t>https://ebsi.co.kr/ebs/lms/player/retrieveLmsPlayerHtml5Simple.ebs?medUrl=https://WSTR.ebsi.co.kr/M41M2401/S20240000260/S20240000260_1M4_100030054381.mp4&amp;strStartTm=3261&amp;pType=2</t>
  </si>
  <si>
    <t>https://ebsi.co.kr/ebs/lms/player/retrieveLmsPlayerHtml5Simple.ebs?medUrl=https://WSTR.ebsi.co.kr/M41M2401/S20240000260/S20240000260_1M4_100030054380.mp4&amp;strStartTm=2521&amp;pType=2</t>
  </si>
  <si>
    <t>https://ebsi.co.kr/ebs/lms/player/retrieveLmsPlayerHtml5Simple.ebs?medUrl=https://WSTR.ebsi.co.kr/M41M2401/S20240000260/S20240000260_1M4_100030054381.mp4&amp;strStartTm=3567&amp;pType=2</t>
  </si>
  <si>
    <t>https://ebsi.co.kr/ebs/lms/player/retrieveLmsPlayerHtml5Simple.ebs?medUrl=https://WSTR.ebsi.co.kr/M41M2401/S20240000260/S20240000260_1M4_100030054380.mp4&amp;strStartTm=3050&amp;pType=2</t>
    <phoneticPr fontId="1" type="noConversion"/>
  </si>
  <si>
    <t>https://ebsi.co.kr/ebs/lms/player/retrieveLmsPlayerHtml5Simple.ebs?medUrl=https://WSTR.ebsi.co.kr/M41M2301/S20230000616/S20230000616_1M4_100030044874.mp4&amp;strStartTm=275&amp;pType=2</t>
  </si>
  <si>
    <t>https://ebsi.co.kr/ebs/lms/player/retrieveLmsPlayerHtml5Simple.ebs?medUrl=https://WSTR.ebsi.co.kr/M41M2301/S20230000616/S20230000616_1M4_100030044875.mp4&amp;strStartTm=213&amp;pType=2</t>
  </si>
  <si>
    <t>https://ebsi.co.kr/ebs/lms/player/retrieveLmsPlayerHtml5Simple.ebs?medUrl=https://WSTR.ebsi.co.kr/M41M2301/S20230000616/S20230000616_1M4_100030044874.mp4&amp;strStartTm=346&amp;pType=2</t>
  </si>
  <si>
    <t>https://ebsi.co.kr/ebs/lms/player/retrieveLmsPlayerHtml5Simple.ebs?medUrl=https://WSTR.ebsi.co.kr/M41M2301/S20230000616/S20230000616_1M4_100030044875.mp4&amp;strStartTm=262&amp;pType=2</t>
  </si>
  <si>
    <t>https://ebsi.co.kr/ebs/lms/player/retrieveLmsPlayerHtml5Simple.ebs?medUrl=https://WSTR.ebsi.co.kr/M41M2301/S20230000616/S20230000616_1M4_100030044875.mp4&amp;strStartTm=317&amp;pType=2</t>
  </si>
  <si>
    <t>https://ebsi.co.kr/ebs/lms/player/retrieveLmsPlayerHtml5Simple.ebs?medUrl=https://WSTR.ebsi.co.kr/M41M2301/S20230000616/S20230000616_1M4_100030044874.mp4&amp;strStartTm=629&amp;pType=2</t>
  </si>
  <si>
    <t>https://ebsi.co.kr/ebs/lms/player/retrieveLmsPlayerHtml5Simple.ebs?medUrl=https://WSTR.ebsi.co.kr/M41M2301/S20230000616/S20230000616_1M4_100030044875.mp4&amp;strStartTm=390&amp;pType=2</t>
  </si>
  <si>
    <t>https://ebsi.co.kr/ebs/lms/player/retrieveLmsPlayerHtml5Simple.ebs?medUrl=https://WSTR.ebsi.co.kr/M41M2301/S20230000616/S20230000616_1M4_100030044875.mp4&amp;strStartTm=478&amp;pType=2</t>
  </si>
  <si>
    <t>https://ebsi.co.kr/ebs/lms/player/retrieveLmsPlayerHtml5Simple.ebs?medUrl=https://WSTR.ebsi.co.kr/M41M2301/S20230000616/S20230000616_1M4_100030044874.mp4&amp;strStartTm=897&amp;pType=2</t>
  </si>
  <si>
    <t>https://ebsi.co.kr/ebs/lms/player/retrieveLmsPlayerHtml5Simple.ebs?medUrl=https://WSTR.ebsi.co.kr/M41M2301/S20230000616/S20230000616_1M4_100030044875.mp4&amp;strStartTm=791&amp;pType=2</t>
  </si>
  <si>
    <t>https://ebsi.co.kr/ebs/lms/player/retrieveLmsPlayerHtml5Simple.ebs?medUrl=https://WSTR.ebsi.co.kr/M41M2301/S20230000616/S20230000616_1M4_100030044874.mp4&amp;strStartTm=1186&amp;pType=2</t>
  </si>
  <si>
    <t>https://ebsi.co.kr/ebs/lms/player/retrieveLmsPlayerHtml5Simple.ebs?medUrl=https://WSTR.ebsi.co.kr/M41M2301/S20230000616/S20230000616_1M4_100030044875.mp4&amp;strStartTm=1304&amp;pType=2</t>
  </si>
  <si>
    <t>https://ebsi.co.kr/ebs/lms/player/retrieveLmsPlayerHtml5Simple.ebs?medUrl=https://WSTR.ebsi.co.kr/M41M2301/S20230000616/S20230000616_1M4_100030044874.mp4&amp;strStartTm=1816&amp;pType=2</t>
  </si>
  <si>
    <t>https://ebsi.co.kr/ebs/lms/player/retrieveLmsPlayerHtml5Simple.ebs?medUrl=https://WSTR.ebsi.co.kr/M41M2301/S20230000616/S20230000616_1M4_100030044875.mp4&amp;strStartTm=1827&amp;pType=2</t>
  </si>
  <si>
    <t>https://ebsi.co.kr/ebs/lms/player/retrieveLmsPlayerHtml5Simple.ebs?medUrl=https://WSTR.ebsi.co.kr/M41M2301/S20230000616/S20230000616_1M4_100030044874.mp4&amp;strStartTm=2331&amp;pType=2</t>
  </si>
  <si>
    <t>https://ebsi.co.kr/ebs/lms/player/retrieveLmsPlayerHtml5Simple.ebs?medUrl=https://WSTR.ebsi.co.kr/M41M2301/S20230000616/S20230000616_1M4_100030044874.mp4&amp;strStartTm=3001&amp;pType=2</t>
  </si>
  <si>
    <t>https://ebsi.co.kr/ebs/lms/player/retrieveLmsPlayerHtml5Simple.ebs?medUrl=https://WSTR.ebsi.co.kr/M41M2301/S20230000616/S20230000616_1M4_100030044875.mp4&amp;strStartTm=2842&amp;pType=2</t>
  </si>
  <si>
    <t>https://ebsi.co.kr/ebs/lms/player/retrieveLmsPlayerHtml5Simple.ebs?medUrl=https://WSTR.ebsi.co.kr/M41M2301/S20230000616/S20230000616_1M4_100030044874.mp4&amp;strStartTm=3034&amp;pType=2</t>
  </si>
  <si>
    <t>https://ebsi.co.kr/ebs/lms/player/retrieveLmsPlayerHtml5Simple.ebs?medUrl=https://WSTR.ebsi.co.kr/M41M2301/S20230000616/S20230000616_1M4_100030044874.mp4&amp;strStartTm=3171&amp;pType=2</t>
  </si>
  <si>
    <t>https://ebsi.co.kr/ebs/lms/player/retrieveLmsPlayerHtml5Simple.ebs?medUrl=https://WSTR.ebsi.co.kr/M41M2301/S20230000616/S20230000616_1M4_100030044875.mp4&amp;strStartTm=2884&amp;pType=2</t>
  </si>
  <si>
    <t>https://ebsi.co.kr/ebs/lms/player/retrieveLmsPlayerHtml5Simple.ebs?medUrl=https://WSTR.ebsi.co.kr/M41M2301/S20230000616/S20230000616_1M4_100030044874.mp4&amp;strStartTm=3565&amp;pType=2</t>
  </si>
  <si>
    <t>https://ebsi.co.kr/ebs/lms/player/retrieveLmsPlayerHtml5Simple.ebs?medUrl=https://WSTR.ebsi.co.kr/M41M2301/S20230000616/S20230000616_1M4_100030044875.mp4&amp;strStartTm=3307&amp;pType=2</t>
  </si>
  <si>
    <t>https://ebsi.co.kr/ebs/lms/player/retrieveLmsPlayerHtml5Simple.ebs?medUrl=https://WSTR.ebsi.co.kr/M41M2301/S20230000491/S20230000491_1M4_100030043585.mp4&amp;strStartTm=206&amp;pType=2</t>
  </si>
  <si>
    <t>https://ebsi.co.kr/ebs/lms/player/retrieveLmsPlayerHtml5Simple.ebs?medUrl=https://WSTR.ebsi.co.kr/M41M2301/S20230000491/S20230000491_1M4_100030043586.mp4&amp;strStartTm=165&amp;pType=2</t>
  </si>
  <si>
    <t>https://ebsi.co.kr/ebs/lms/player/retrieveLmsPlayerHtml5Simple.ebs?medUrl=https://WSTR.ebsi.co.kr/M41M2301/S20230000491/S20230000491_1M4_100030043585.mp4&amp;strStartTm=297&amp;pType=2</t>
  </si>
  <si>
    <t>https://ebsi.co.kr/ebs/lms/player/retrieveLmsPlayerHtml5Simple.ebs?medUrl=https://WSTR.ebsi.co.kr/M41M2301/S20230000491/S20230000491_1M4_100030043586.mp4&amp;strStartTm=217&amp;pType=2</t>
  </si>
  <si>
    <t>https://ebsi.co.kr/ebs/lms/player/retrieveLmsPlayerHtml5Simple.ebs?medUrl=https://WSTR.ebsi.co.kr/M41M2301/S20230000491/S20230000491_1M4_100030043585.mp4&amp;strStartTm=417&amp;pType=2</t>
  </si>
  <si>
    <t>https://ebsi.co.kr/ebs/lms/player/retrieveLmsPlayerHtml5Simple.ebs?medUrl=https://WSTR.ebsi.co.kr/M41M2301/S20230000491/S20230000491_1M4_100030043586.mp4&amp;strStartTm=285&amp;pType=2</t>
  </si>
  <si>
    <t>https://ebsi.co.kr/ebs/lms/player/retrieveLmsPlayerHtml5Simple.ebs?medUrl=https://WSTR.ebsi.co.kr/M41M2301/S20230000491/S20230000491_1M4_100030043585.mp4&amp;strStartTm=623&amp;pType=2</t>
  </si>
  <si>
    <t>https://ebsi.co.kr/ebs/lms/player/retrieveLmsPlayerHtml5Simple.ebs?medUrl=https://WSTR.ebsi.co.kr/M41M2301/S20230000491/S20230000491_1M4_100030043586.mp4&amp;strStartTm=483&amp;pType=2</t>
  </si>
  <si>
    <t>https://ebsi.co.kr/ebs/lms/player/retrieveLmsPlayerHtml5Simple.ebs?medUrl=https://WSTR.ebsi.co.kr/M41M2301/S20230000491/S20230000491_1M4_100030043585.mp4&amp;strStartTm=810&amp;pType=2</t>
  </si>
  <si>
    <t>https://ebsi.co.kr/ebs/lms/player/retrieveLmsPlayerHtml5Simple.ebs?medUrl=https://WSTR.ebsi.co.kr/M41M2301/S20230000491/S20230000491_1M4_100030043586.mp4&amp;strStartTm=621&amp;pType=2</t>
  </si>
  <si>
    <t>https://ebsi.co.kr/ebs/lms/player/retrieveLmsPlayerHtml5Simple.ebs?medUrl=https://WSTR.ebsi.co.kr/M41M2301/S20230000491/S20230000491_1M4_100030043586.mp4&amp;strStartTm=1278&amp;pType=2</t>
  </si>
  <si>
    <t>https://ebsi.co.kr/ebs/lms/player/retrieveLmsPlayerHtml5Simple.ebs?medUrl=https://WSTR.ebsi.co.kr/M41M2301/S20230000491/S20230000491_1M4_100030043585.mp4&amp;strStartTm=1088&amp;pType=2</t>
  </si>
  <si>
    <t>https://ebsi.co.kr/ebs/lms/player/retrieveLmsPlayerHtml5Simple.ebs?medUrl=https://WSTR.ebsi.co.kr/M41M2301/S20230000491/S20230000491_1M4_100030043586.mp4&amp;strStartTm=1946&amp;pType=2</t>
  </si>
  <si>
    <t>https://ebsi.co.kr/ebs/lms/player/retrieveLmsPlayerHtml5Simple.ebs?medUrl=https://WSTR.ebsi.co.kr/M41M2301/S20230000491/S20230000491_1M4_100030043585.mp4&amp;strStartTm=1466&amp;pType=2</t>
  </si>
  <si>
    <t>https://ebsi.co.kr/ebs/lms/player/retrieveLmsPlayerHtml5Simple.ebs?medUrl=https://WSTR.ebsi.co.kr/M41M2301/S20230000491/S20230000491_1M4_100030043586.mp4&amp;strStartTm=2922&amp;pType=2</t>
  </si>
  <si>
    <t>https://ebsi.co.kr/ebs/lms/player/retrieveLmsPlayerHtml5Simple.ebs?medUrl=https://WSTR.ebsi.co.kr/M41M2301/S20230000491/S20230000491_1M4_100030043585.mp4&amp;strStartTm=2122&amp;pType=2</t>
  </si>
  <si>
    <t>https://ebsi.co.kr/ebs/lms/player/retrieveLmsPlayerHtml5Simple.ebs?medUrl=https://WSTR.ebsi.co.kr/M41M2301/S20230000491/S20230000491_1M4_100030043585.mp4&amp;strStartTm=2236&amp;pType=2</t>
  </si>
  <si>
    <t>https://ebsi.co.kr/ebs/lms/player/retrieveLmsPlayerHtml5Simple.ebs?medUrl=https://WSTR.ebsi.co.kr/M41M2301/S20230000491/S20230000491_1M4_100030043586.mp4&amp;strStartTm=3376&amp;pType=2</t>
  </si>
  <si>
    <t>https://ebsi.co.kr/ebs/lms/player/retrieveLmsPlayerHtml5Simple.ebs?medUrl=https://WSTR.ebsi.co.kr/M41M2301/S20230000491/S20230000491_1M4_100030043586.mp4&amp;strStartTm=3449&amp;pType=2</t>
  </si>
  <si>
    <t>https://ebsi.co.kr/ebs/lms/player/retrieveLmsPlayerHtml5Simple.ebs?medUrl=https://WSTR.ebsi.co.kr/M41M2301/S20230000491/S20230000491_1M4_100030043585.mp4&amp;strStartTm=2316&amp;pType=2</t>
  </si>
  <si>
    <t>https://ebsi.co.kr/ebs/lms/player/retrieveLmsPlayerHtml5Simple.ebs?medUrl=https://WSTR.ebsi.co.kr/M41M2301/S20230000491/S20230000491_1M4_100030043586.mp4&amp;strStartTm=3597&amp;pType=2</t>
    <phoneticPr fontId="1" type="noConversion"/>
  </si>
  <si>
    <t>https://ebsi.co.kr/ebs/lms/player/retrieveLmsPlayerHtml5Simple.ebs?medUrl=https://WSTR.ebsi.co.kr/M41M2301/S20230000491/S20230000491_1M4_100030043585.mp4&amp;strStartTm=2614&amp;pType=2</t>
    <phoneticPr fontId="1" type="noConversion"/>
  </si>
  <si>
    <t>https://ebsi.co.kr/ebs/lms/player/retrieveLmsPlayerHtml5Simple.ebs?medUrl=https://WSTR.ebsi.co.kr/M41M2301/S20230000297/S20230000297_1M4_100030039324.mp4&amp;strStartTm=277&amp;pType=2</t>
  </si>
  <si>
    <t>https://ebsi.co.kr/ebs/lms/player/retrieveLmsPlayerHtml5Simple.ebs?medUrl=https://WSTR.ebsi.co.kr/M41M2301/S20230000297/S20230000297_1M4_100030039325.mp4&amp;strStartTm=353&amp;pType=2</t>
  </si>
  <si>
    <t>https://ebsi.co.kr/ebs/lms/player/retrieveLmsPlayerHtml5Simple.ebs?medUrl=https://WSTR.ebsi.co.kr/M41M2301/S20230000297/S20230000297_1M4_100030039324.mp4&amp;strStartTm=339&amp;pType=2</t>
  </si>
  <si>
    <t>https://ebsi.co.kr/ebs/lms/player/retrieveLmsPlayerHtml5Simple.ebs?medUrl=https://WSTR.ebsi.co.kr/M41M2301/S20230000297/S20230000297_1M4_100030039325.mp4&amp;strStartTm=423&amp;pType=2</t>
  </si>
  <si>
    <t>https://ebsi.co.kr/ebs/lms/player/retrieveLmsPlayerHtml5Simple.ebs?medUrl=https://WSTR.ebsi.co.kr/M41M2301/S20230000297/S20230000297_1M4_100030039325.mp4&amp;strStartTm=513&amp;pType=2</t>
  </si>
  <si>
    <t>https://ebsi.co.kr/ebs/lms/player/retrieveLmsPlayerHtml5Simple.ebs?medUrl=https://WSTR.ebsi.co.kr/M41M2301/S20230000297/S20230000297_1M4_100030039324.mp4&amp;strStartTm=419&amp;pType=2</t>
  </si>
  <si>
    <t>https://ebsi.co.kr/ebs/lms/player/retrieveLmsPlayerHtml5Simple.ebs?medUrl=https://WSTR.ebsi.co.kr/M41M2301/S20230000297/S20230000297_1M4_100030039324.mp4&amp;strStartTm=643&amp;pType=2</t>
  </si>
  <si>
    <t>https://ebsi.co.kr/ebs/lms/player/retrieveLmsPlayerHtml5Simple.ebs?medUrl=https://WSTR.ebsi.co.kr/M41M2301/S20230000297/S20230000297_1M4_100030039325.mp4&amp;strStartTm=607&amp;pType=2</t>
  </si>
  <si>
    <t>https://ebsi.co.kr/ebs/lms/player/retrieveLmsPlayerHtml5Simple.ebs?medUrl=https://WSTR.ebsi.co.kr/M41M2301/S20230000297/S20230000297_1M4_100030039324.mp4&amp;strStartTm=927&amp;pType=2</t>
  </si>
  <si>
    <t>https://ebsi.co.kr/ebs/lms/player/retrieveLmsPlayerHtml5Simple.ebs?medUrl=https://WSTR.ebsi.co.kr/M41M2301/S20230000297/S20230000297_1M4_100030039325.mp4&amp;strStartTm=788&amp;pType=2</t>
  </si>
  <si>
    <t>https://ebsi.co.kr/ebs/lms/player/retrieveLmsPlayerHtml5Simple.ebs?medUrl=https://WSTR.ebsi.co.kr/M41M2301/S20230000297/S20230000297_1M4_100030039325.mp4&amp;strStartTm=1283&amp;pType=2</t>
  </si>
  <si>
    <t>https://ebsi.co.kr/ebs/lms/player/retrieveLmsPlayerHtml5Simple.ebs?medUrl=https://WSTR.ebsi.co.kr/M41M2301/S20230000297/S20230000297_1M4_100030039324.mp4&amp;strStartTm=1275&amp;pType=2</t>
  </si>
  <si>
    <t>https://ebsi.co.kr/ebs/lms/player/retrieveLmsPlayerHtml5Simple.ebs?medUrl=https://WSTR.ebsi.co.kr/M41M2301/S20230000297/S20230000297_1M4_100030039324.mp4&amp;strStartTm=1769&amp;pType=2</t>
  </si>
  <si>
    <t>https://ebsi.co.kr/ebs/lms/player/retrieveLmsPlayerHtml5Simple.ebs?medUrl=https://WSTR.ebsi.co.kr/M41M2301/S20230000297/S20230000297_1M4_100030039325.mp4&amp;strStartTm=1672&amp;pType=2</t>
  </si>
  <si>
    <t>https://ebsi.co.kr/ebs/lms/player/retrieveLmsPlayerHtml5Simple.ebs?medUrl=https://WSTR.ebsi.co.kr/M41M2301/S20230000297/S20230000297_1M4_100030039324.mp4&amp;strStartTm=2330&amp;pType=2</t>
  </si>
  <si>
    <t>https://ebsi.co.kr/ebs/lms/player/retrieveLmsPlayerHtml5Simple.ebs?medUrl=https://WSTR.ebsi.co.kr/M41M2301/S20230000297/S20230000297_1M4_100030039324.mp4&amp;strStartTm=2949&amp;pType=2</t>
  </si>
  <si>
    <t>https://ebsi.co.kr/ebs/lms/player/retrieveLmsPlayerHtml5Simple.ebs?medUrl=https://WSTR.ebsi.co.kr/M41M2301/S20230000297/S20230000297_1M4_100030039325.mp4&amp;strStartTm=2525&amp;pType=2</t>
  </si>
  <si>
    <t>https://ebsi.co.kr/ebs/lms/player/retrieveLmsPlayerHtml5Simple.ebs?medUrl=https://WSTR.ebsi.co.kr/M41M2301/S20230000297/S20230000297_1M4_100030039325.mp4&amp;strStartTm=2565&amp;pType=2</t>
  </si>
  <si>
    <t>https://ebsi.co.kr/ebs/lms/player/retrieveLmsPlayerHtml5Simple.ebs?medUrl=https://WSTR.ebsi.co.kr/M41M2301/S20230000297/S20230000297_1M4_100030039324.mp4&amp;strStartTm=3022&amp;pType=2</t>
  </si>
  <si>
    <t>https://ebsi.co.kr/ebs/lms/player/retrieveLmsPlayerHtml5Simple.ebs?medUrl=https://WSTR.ebsi.co.kr/M41M2301/S20230000297/S20230000297_1M4_100030039325.mp4&amp;strStartTm=2778&amp;pType=2</t>
  </si>
  <si>
    <t>https://ebsi.co.kr/ebs/lms/player/retrieveLmsPlayerHtml5Simple.ebs?medUrl=https://WSTR.ebsi.co.kr/M41M2301/S20230000297/S20230000297_1M4_100030039324.mp4&amp;strStartTm=3353&amp;pType=2</t>
  </si>
  <si>
    <t>https://ebsi.co.kr/ebs/lms/player/retrieveLmsPlayerHtml5Simple.ebs?medUrl=https://WSTR.ebsi.co.kr/M41M2301/S20230000297/S20230000297_1M4_100030039325.mp4&amp;strStartTm=3522&amp;pType=2</t>
  </si>
  <si>
    <t>https://ebsi.co.kr/ebs/lms/player/retrieveLmsPlayerHtml5Simple.ebs?medUrl=https://WSTR.ebsi.co.kr/M41M2201/S20220000620/S20220000620_1M4_100030028820.mp4&amp;strStartTm=277&amp;pType=2</t>
  </si>
  <si>
    <t>https://ebsi.co.kr/ebs/lms/player/retrieveLmsPlayerHtml5Simple.ebs?medUrl=https://WSTR.ebsi.co.kr/M41M2201/S20220000620/S20220000620_1M4_100030028821.mp4&amp;strStartTm=566&amp;pType=2</t>
  </si>
  <si>
    <t>https://ebsi.co.kr/ebs/lms/player/retrieveLmsPlayerHtml5Simple.ebs?medUrl=https://WSTR.ebsi.co.kr/M41M2201/S20220000620/S20220000620_1M4_100030028820.mp4&amp;strStartTm=403&amp;pType=2</t>
  </si>
  <si>
    <t>https://ebsi.co.kr/ebs/lms/player/retrieveLmsPlayerHtml5Simple.ebs?medUrl=https://WSTR.ebsi.co.kr/M41M2201/S20220000620/S20220000620_1M4_100030028821.mp4&amp;strStartTm=686&amp;pType=2</t>
  </si>
  <si>
    <t>https://ebsi.co.kr/ebs/lms/player/retrieveLmsPlayerHtml5Simple.ebs?medUrl=https://WSTR.ebsi.co.kr/M41M2201/S20220000620/S20220000620_1M4_100030028820.mp4&amp;strStartTm=648&amp;pType=2</t>
  </si>
  <si>
    <t>https://ebsi.co.kr/ebs/lms/player/retrieveLmsPlayerHtml5Simple.ebs?medUrl=https://WSTR.ebsi.co.kr/M41M2201/S20220000620/S20220000620_1M4_100030028821.mp4&amp;strStartTm=761&amp;pType=2</t>
  </si>
  <si>
    <t>https://ebsi.co.kr/ebs/lms/player/retrieveLmsPlayerHtml5Simple.ebs?medUrl=https://WSTR.ebsi.co.kr/M41M2201/S20220000620/S20220000620_1M4_100030028820.mp4&amp;strStartTm=944&amp;pType=2</t>
  </si>
  <si>
    <t>https://ebsi.co.kr/ebs/lms/player/retrieveLmsPlayerHtml5Simple.ebs?medUrl=https://WSTR.ebsi.co.kr/M41M2201/S20220000620/S20220000620_1M4_100030028821.mp4&amp;strStartTm=878&amp;pType=2</t>
  </si>
  <si>
    <t>https://ebsi.co.kr/ebs/lms/player/retrieveLmsPlayerHtml5Simple.ebs?medUrl=https://WSTR.ebsi.co.kr/M41M2201/S20220000620/S20220000620_1M4_100030028820.mp4&amp;strStartTm=1396&amp;pType=2</t>
  </si>
  <si>
    <t>https://ebsi.co.kr/ebs/lms/player/retrieveLmsPlayerHtml5Simple.ebs?medUrl=https://WSTR.ebsi.co.kr/M41M2201/S20220000620/S20220000620_1M4_100030028821.mp4&amp;strStartTm=1138&amp;pType=2</t>
  </si>
  <si>
    <t>https://ebsi.co.kr/ebs/lms/player/retrieveLmsPlayerHtml5Simple.ebs?medUrl=https://WSTR.ebsi.co.kr/M41M2201/S20220000620/S20220000620_1M4_100030028820.mp4&amp;strStartTm=1715&amp;pType=2</t>
  </si>
  <si>
    <t>https://ebsi.co.kr/ebs/lms/player/retrieveLmsPlayerHtml5Simple.ebs?medUrl=https://WSTR.ebsi.co.kr/M41M2201/S20220000620/S20220000620_1M4_100030028821.mp4&amp;strStartTm=1332&amp;pType=2</t>
  </si>
  <si>
    <t>https://ebsi.co.kr/ebs/lms/player/retrieveLmsPlayerHtml5Simple.ebs?medUrl=https://WSTR.ebsi.co.kr/M41M2201/S20220000620/S20220000620_1M4_100030028820.mp4&amp;strStartTm=2056&amp;pType=2</t>
  </si>
  <si>
    <t>https://ebsi.co.kr/ebs/lms/player/retrieveLmsPlayerHtml5Simple.ebs?medUrl=https://WSTR.ebsi.co.kr/M41M2201/S20220000620/S20220000620_1M4_100030028820.mp4&amp;strStartTm=2561&amp;pType=2</t>
  </si>
  <si>
    <t>https://ebsi.co.kr/ebs/lms/player/retrieveLmsPlayerHtml5Simple.ebs?medUrl=https://WSTR.ebsi.co.kr/M41M2201/S20220000620/S20220000620_1M4_100030028820.mp4&amp;strStartTm=3246&amp;pType=2</t>
  </si>
  <si>
    <t>https://ebsi.co.kr/ebs/lms/player/retrieveLmsPlayerHtml5Simple.ebs?medUrl=https://WSTR.ebsi.co.kr/M41M2201/S20220000620/S20220000620_1M4_100030028821.mp4&amp;strStartTm=3211&amp;pType=2</t>
  </si>
  <si>
    <t>https://ebsi.co.kr/ebs/lms/player/retrieveLmsPlayerHtml5Simple.ebs?medUrl=https://WSTR.ebsi.co.kr/M41M2201/S20220000620/S20220000620_1M4_100030028820.mp4&amp;strStartTm=3396&amp;pType=2</t>
  </si>
  <si>
    <t>https://ebsi.co.kr/ebs/lms/player/retrieveLmsPlayerHtml5Simple.ebs?medUrl=https://WSTR.ebsi.co.kr/M41M2201/S20220000620/S20220000620_1M4_100030028821.mp4&amp;strStartTm=3246&amp;pType=2</t>
  </si>
  <si>
    <t>https://ebsi.co.kr/ebs/lms/player/retrieveLmsPlayerHtml5Simple.ebs?medUrl=https://WSTR.ebsi.co.kr/M41M2201/S20220000620/S20220000620_1M4_100030028821.mp4&amp;strStartTm=3402&amp;pType=2</t>
  </si>
  <si>
    <t>https://ebsi.co.kr/ebs/lms/player/retrieveLmsPlayerHtml5Simple.ebs?medUrl=https://WSTR.ebsi.co.kr/M41M2201/S20220000620/S20220000620_1M4_100030028820.mp4&amp;strStartTm=3541&amp;pType=2</t>
  </si>
  <si>
    <t>https://ebsi.co.kr/ebs/lms/player/retrieveLmsPlayerHtml5Simple.ebs?medUrl=https://WSTR.ebsi.co.kr/M41M2201/S20220000620/S20220000620_1M4_100030028821.mp4&amp;strStartTm=3562&amp;pType=2</t>
  </si>
  <si>
    <t>https://ebsi.co.kr/ebs/lms/player/retrieveLmsPlayerHtml5Simple.ebs?medUrl=https://WSTR.ebsi.co.kr/M41M2201/S20220000415/S20220000415_1M4_100030027366.mp4&amp;strStartTm=219&amp;pType=2</t>
  </si>
  <si>
    <t>https://ebsi.co.kr/ebs/lms/player/retrieveLmsPlayerHtml5Simple.ebs?medUrl=https://WSTR.ebsi.co.kr/M41M2201/S20220000415/S20220000415_1M4_100030027367.mp4&amp;strStartTm=58&amp;pType=2</t>
  </si>
  <si>
    <t>https://ebsi.co.kr/ebs/lms/player/retrieveLmsPlayerHtml5Simple.ebs?medUrl=https://WSTR.ebsi.co.kr/M41M2201/S20220000415/S20220000415_1M4_100030027366.mp4&amp;strStartTm=271&amp;pType=2</t>
  </si>
  <si>
    <t>https://ebsi.co.kr/ebs/lms/player/retrieveLmsPlayerHtml5Simple.ebs?medUrl=https://WSTR.ebsi.co.kr/M41M2201/S20220000415/S20220000415_1M4_100030027367.mp4&amp;strStartTm=118&amp;pType=2</t>
  </si>
  <si>
    <t>https://ebsi.co.kr/ebs/lms/player/retrieveLmsPlayerHtml5Simple.ebs?medUrl=https://WSTR.ebsi.co.kr/M41M2201/S20220000415/S20220000415_1M4_100030027366.mp4&amp;strStartTm=537&amp;pType=2</t>
  </si>
  <si>
    <t>https://ebsi.co.kr/ebs/lms/player/retrieveLmsPlayerHtml5Simple.ebs?medUrl=https://WSTR.ebsi.co.kr/M41M2201/S20220000415/S20220000415_1M4_100030027367.mp4&amp;strStartTm=218&amp;pType=2</t>
  </si>
  <si>
    <t>https://ebsi.co.kr/ebs/lms/player/retrieveLmsPlayerHtml5Simple.ebs?medUrl=https://WSTR.ebsi.co.kr/M41M2201/S20220000415/S20220000415_1M4_100030027366.mp4&amp;strStartTm=773&amp;pType=2</t>
  </si>
  <si>
    <t>https://ebsi.co.kr/ebs/lms/player/retrieveLmsPlayerHtml5Simple.ebs?medUrl=https://WSTR.ebsi.co.kr/M41M2201/S20220000415/S20220000415_1M4_100030027367.mp4&amp;strStartTm=327&amp;pType=2</t>
  </si>
  <si>
    <t>https://ebsi.co.kr/ebs/lms/player/retrieveLmsPlayerHtml5Simple.ebs?medUrl=https://WSTR.ebsi.co.kr/M41M2201/S20220000415/S20220000415_1M4_100030027366.mp4&amp;strStartTm=986&amp;pType=2</t>
  </si>
  <si>
    <t>https://ebsi.co.kr/ebs/lms/player/retrieveLmsPlayerHtml5Simple.ebs?medUrl=https://WSTR.ebsi.co.kr/M41M2201/S20220000415/S20220000415_1M4_100030027367.mp4&amp;strStartTm=514&amp;pType=2</t>
  </si>
  <si>
    <t>https://ebsi.co.kr/ebs/lms/player/retrieveLmsPlayerHtml5Simple.ebs?medUrl=https://WSTR.ebsi.co.kr/M41M2201/S20220000415/S20220000415_1M4_100030027366.mp4&amp;strStartTm=1607&amp;pType=2</t>
  </si>
  <si>
    <t>https://ebsi.co.kr/ebs/lms/player/retrieveLmsPlayerHtml5Simple.ebs?medUrl=https://WSTR.ebsi.co.kr/M41M2201/S20220000415/S20220000415_1M4_100030027367.mp4&amp;strStartTm=714&amp;pType=2</t>
  </si>
  <si>
    <t>https://ebsi.co.kr/ebs/lms/player/retrieveLmsPlayerHtml5Simple.ebs?medUrl=https://WSTR.ebsi.co.kr/M41M2201/S20220000415/S20220000415_1M4_100030027366.mp4&amp;strStartTm=2050&amp;pType=2</t>
  </si>
  <si>
    <t>https://ebsi.co.kr/ebs/lms/player/retrieveLmsPlayerHtml5Simple.ebs?medUrl=https://WSTR.ebsi.co.kr/M41M2201/S20220000415/S20220000415_1M4_100030027367.mp4&amp;strStartTm=1126&amp;pType=2</t>
  </si>
  <si>
    <t>https://ebsi.co.kr/ebs/lms/player/retrieveLmsPlayerHtml5Simple.ebs?medUrl=https://WSTR.ebsi.co.kr/M41M2201/S20220000415/S20220000415_1M4_100030027366.mp4&amp;strStartTm=2873&amp;pType=2</t>
  </si>
  <si>
    <t>https://ebsi.co.kr/ebs/lms/player/retrieveLmsPlayerHtml5Simple.ebs?medUrl=https://WSTR.ebsi.co.kr/M41M2201/S20220000415/S20220000415_1M4_100030027366.mp4&amp;strStartTm=3682&amp;pType=2</t>
  </si>
  <si>
    <t>https://ebsi.co.kr/ebs/lms/player/retrieveLmsPlayerHtml5Simple.ebs?medUrl=https://WSTR.ebsi.co.kr/M41M2201/S20220000415/S20220000415_1M4_100030027367.mp4&amp;strStartTm=2256&amp;pType=2</t>
  </si>
  <si>
    <t>https://ebsi.co.kr/ebs/lms/player/retrieveLmsPlayerHtml5Simple.ebs?medUrl=https://WSTR.ebsi.co.kr/M41M2201/S20220000415/S20220000415_1M4_100030027366.mp4&amp;strStartTm=3798&amp;pType=2</t>
  </si>
  <si>
    <t>https://ebsi.co.kr/ebs/lms/player/retrieveLmsPlayerHtml5Simple.ebs?medUrl=https://WSTR.ebsi.co.kr/M41M2201/S20220000415/S20220000415_1M4_100030027367.mp4&amp;strStartTm=2329&amp;pType=2</t>
  </si>
  <si>
    <t>https://ebsi.co.kr/ebs/lms/player/retrieveLmsPlayerHtml5Simple.ebs?medUrl=https://WSTR.ebsi.co.kr/M41M2201/S20220000415/S20220000415_1M4_100030027367.mp4&amp;strStartTm=2620&amp;pType=2</t>
  </si>
  <si>
    <t>https://ebsi.co.kr/ebs/lms/player/retrieveLmsPlayerHtml5Simple.ebs?medUrl=https://WSTR.ebsi.co.kr/M41M2201/S20220000415/S20220000415_1M4_100030027366.mp4&amp;strStartTm=3869&amp;pType=2</t>
  </si>
  <si>
    <t>https://ebsi.co.kr/ebs/lms/player/retrieveLmsPlayerHtml5Simple.ebs?medUrl=https://WSTR.ebsi.co.kr/M41M2201/S20220000415/S20220000415_1M4_100030027367.mp4&amp;strStartTm=3428&amp;pType=2</t>
  </si>
  <si>
    <t>https://ebsi.co.kr/ebs/lms/player/retrieveLmsPlayerHtml5Simple.ebs?medUrl=https://WSTR.ebsi.co.kr/M41M2201/S20220000268/S20220000268_1M4_100030024242.mp4&amp;strStartTm=381&amp;pType=2</t>
  </si>
  <si>
    <t>https://ebsi.co.kr/ebs/lms/player/retrieveLmsPlayerHtml5Simple.ebs?medUrl=https://WSTR.ebsi.co.kr/M41M2201/S20220000268/S20220000268_1M4_100030024243.mp4&amp;strStartTm=252&amp;pType=2</t>
  </si>
  <si>
    <t>https://ebsi.co.kr/ebs/lms/player/retrieveLmsPlayerHtml5Simple.ebs?medUrl=https://WSTR.ebsi.co.kr/M41M2201/S20220000268/S20220000268_1M4_100030024242.mp4&amp;strStartTm=501&amp;pType=2</t>
  </si>
  <si>
    <t>https://ebsi.co.kr/ebs/lms/player/retrieveLmsPlayerHtml5Simple.ebs?medUrl=https://WSTR.ebsi.co.kr/M41M2201/S20220000268/S20220000268_1M4_100030024243.mp4&amp;strStartTm=304&amp;pType=2</t>
  </si>
  <si>
    <t>https://ebsi.co.kr/ebs/lms/player/retrieveLmsPlayerHtml5Simple.ebs?medUrl=https://WSTR.ebsi.co.kr/M41M2201/S20220000268/S20220000268_1M4_100030024242.mp4&amp;strStartTm=661&amp;pType=2</t>
  </si>
  <si>
    <t>https://ebsi.co.kr/ebs/lms/player/retrieveLmsPlayerHtml5Simple.ebs?medUrl=https://WSTR.ebsi.co.kr/M41M2201/S20220000268/S20220000268_1M4_100030024243.mp4&amp;strStartTm=346&amp;pType=2</t>
  </si>
  <si>
    <t>https://ebsi.co.kr/ebs/lms/player/retrieveLmsPlayerHtml5Simple.ebs?medUrl=https://WSTR.ebsi.co.kr/M41M2201/S20220000268/S20220000268_1M4_100030024242.mp4&amp;strStartTm=862&amp;pType=2</t>
  </si>
  <si>
    <t>https://ebsi.co.kr/ebs/lms/player/retrieveLmsPlayerHtml5Simple.ebs?medUrl=https://WSTR.ebsi.co.kr/M41M2201/S20220000268/S20220000268_1M4_100030024243.mp4&amp;strStartTm=600&amp;pType=2</t>
  </si>
  <si>
    <t>https://ebsi.co.kr/ebs/lms/player/retrieveLmsPlayerHtml5Simple.ebs?medUrl=https://WSTR.ebsi.co.kr/M41M2201/S20220000268/S20220000268_1M4_100030024243.mp4&amp;strStartTm=830&amp;pType=2</t>
  </si>
  <si>
    <t>https://ebsi.co.kr/ebs/lms/player/retrieveLmsPlayerHtml5Simple.ebs?medUrl=https://WSTR.ebsi.co.kr/M41M2201/S20220000268/S20220000268_1M4_100030024242.mp4&amp;strStartTm=1108&amp;pType=2</t>
  </si>
  <si>
    <t>https://ebsi.co.kr/ebs/lms/player/retrieveLmsPlayerHtml5Simple.ebs?medUrl=https://WSTR.ebsi.co.kr/M41M2201/S20220000268/S20220000268_1M4_100030024243.mp4&amp;strStartTm=980&amp;pType=2</t>
  </si>
  <si>
    <t>https://ebsi.co.kr/ebs/lms/player/retrieveLmsPlayerHtml5Simple.ebs?medUrl=https://WSTR.ebsi.co.kr/M41M2201/S20220000268/S20220000268_1M4_100030024242.mp4&amp;strStartTm=1913&amp;pType=2</t>
  </si>
  <si>
    <t>https://ebsi.co.kr/ebs/lms/player/retrieveLmsPlayerHtml5Simple.ebs?medUrl=https://WSTR.ebsi.co.kr/M41M2201/S20220000268/S20220000268_1M4_100030024242.mp4&amp;strStartTm=2442&amp;pType=2</t>
  </si>
  <si>
    <t>https://ebsi.co.kr/ebs/lms/player/retrieveLmsPlayerHtml5Simple.ebs?medUrl=https://WSTR.ebsi.co.kr/M41M2201/S20220000268/S20220000268_1M4_100030024243.mp4&amp;strStartTm=1144&amp;pType=2</t>
  </si>
  <si>
    <t>https://ebsi.co.kr/ebs/lms/player/retrieveLmsPlayerHtml5Simple.ebs?medUrl=https://WSTR.ebsi.co.kr/M41M2201/S20220000268/S20220000268_1M4_100030024242.mp4&amp;strStartTm=2758&amp;pType=2</t>
  </si>
  <si>
    <t>https://ebsi.co.kr/ebs/lms/player/retrieveLmsPlayerHtml5Simple.ebs?medUrl=https://WSTR.ebsi.co.kr/M41M2201/S20220000268/S20220000268_1M4_100030024242.mp4&amp;strStartTm=3332&amp;pType=2</t>
  </si>
  <si>
    <t>https://ebsi.co.kr/ebs/lms/player/retrieveLmsPlayerHtml5Simple.ebs?medUrl=https://WSTR.ebsi.co.kr/M41M2201/S20220000268/S20220000268_1M4_100030024243.mp4&amp;strStartTm=2058&amp;pType=2</t>
  </si>
  <si>
    <t>https://ebsi.co.kr/ebs/lms/player/retrieveLmsPlayerHtml5Simple.ebs?medUrl=https://WSTR.ebsi.co.kr/M41M2201/S20220000268/S20220000268_1M4_100030024242.mp4&amp;strStartTm=3413&amp;pType=2</t>
  </si>
  <si>
    <t>https://ebsi.co.kr/ebs/lms/player/retrieveLmsPlayerHtml5Simple.ebs?medUrl=https://WSTR.ebsi.co.kr/M41M2201/S20220000268/S20220000268_1M4_100030024243.mp4&amp;strStartTm=2099&amp;pType=2</t>
  </si>
  <si>
    <t>https://ebsi.co.kr/ebs/lms/player/retrieveLmsPlayerHtml5Simple.ebs?medUrl=https://WSTR.ebsi.co.kr/M41M2201/S20220000268/S20220000268_1M4_100030024243.mp4&amp;strStartTm=2225&amp;pType=2</t>
  </si>
  <si>
    <t>https://ebsi.co.kr/ebs/lms/player/retrieveLmsPlayerHtml5Simple.ebs?medUrl=https://WSTR.ebsi.co.kr/M41M2201/S20220000268/S20220000268_1M4_100030024242.mp4&amp;strStartTm=3494&amp;pType=2</t>
  </si>
  <si>
    <t>https://ebsi.co.kr/ebs/lms/player/retrieveLmsPlayerHtml5Simple.ebs?medUrl=https://WSTR.ebsi.co.kr/M41M2101/S20210001189/S20210001189_1M4_100030011705.mp4&amp;strStartTm=130&amp;pType=2</t>
  </si>
  <si>
    <t>https://ebsi.co.kr/ebs/lms/player/retrieveLmsPlayerHtml5Simple.ebs?medUrl=https://WSTR.ebsi.co.kr/M41M2101/S20210001189/S20210001189_1M4_100030011706.mp4&amp;strStartTm=359&amp;pType=2</t>
  </si>
  <si>
    <t>https://ebsi.co.kr/ebs/lms/player/retrieveLmsPlayerHtml5Simple.ebs?medUrl=https://WSTR.ebsi.co.kr/M41M2101/S20210001189/S20210001189_1M4_100030011705.mp4&amp;strStartTm=193&amp;pType=2</t>
  </si>
  <si>
    <t>https://ebsi.co.kr/ebs/lms/player/retrieveLmsPlayerHtml5Simple.ebs?medUrl=https://WSTR.ebsi.co.kr/M41M2101/S20210001189/S20210001189_1M4_100030011706.mp4&amp;strStartTm=412&amp;pType=2</t>
  </si>
  <si>
    <t>https://ebsi.co.kr/ebs/lms/player/retrieveLmsPlayerHtml5Simple.ebs?medUrl=https://WSTR.ebsi.co.kr/M41M2101/S20210001189/S20210001189_1M4_100030011705.mp4&amp;strStartTm=278&amp;pType=2</t>
  </si>
  <si>
    <t>https://ebsi.co.kr/ebs/lms/player/retrieveLmsPlayerHtml5Simple.ebs?medUrl=https://WSTR.ebsi.co.kr/M41M2101/S20210001189/S20210001189_1M4_100030011706.mp4&amp;strStartTm=560&amp;pType=2</t>
  </si>
  <si>
    <t>https://ebsi.co.kr/ebs/lms/player/retrieveLmsPlayerHtml5Simple.ebs?medUrl=https://WSTR.ebsi.co.kr/M41M2101/S20210001189/S20210001189_1M4_100030011705.mp4&amp;strStartTm=460&amp;pType=2</t>
  </si>
  <si>
    <t>https://ebsi.co.kr/ebs/lms/player/retrieveLmsPlayerHtml5Simple.ebs?medUrl=https://WSTR.ebsi.co.kr/M41M2101/S20210001189/S20210001189_1M4_100030011706.mp4&amp;strStartTm=974&amp;pType=2</t>
  </si>
  <si>
    <t>https://ebsi.co.kr/ebs/lms/player/retrieveLmsPlayerHtml5Simple.ebs?medUrl=https://WSTR.ebsi.co.kr/M41M2101/S20210001189/S20210001189_1M4_100030011705.mp4&amp;strStartTm=742&amp;pType=2</t>
  </si>
  <si>
    <t>https://ebsi.co.kr/ebs/lms/player/retrieveLmsPlayerHtml5Simple.ebs?medUrl=https://WSTR.ebsi.co.kr/M41M2101/S20210001189/S20210001189_1M4_100030011706.mp4&amp;strStartTm=1267&amp;pType=2</t>
  </si>
  <si>
    <t>https://ebsi.co.kr/ebs/lms/player/retrieveLmsPlayerHtml5Simple.ebs?medUrl=https://WSTR.ebsi.co.kr/M41M2101/S20210001189/S20210001189_1M4_100030011705.mp4&amp;strStartTm=1182&amp;pType=2</t>
  </si>
  <si>
    <t>https://ebsi.co.kr/ebs/lms/player/retrieveLmsPlayerHtml5Simple.ebs?medUrl=https://WSTR.ebsi.co.kr/M41M2101/S20210001189/S20210001189_1M4_100030011706.mp4&amp;strStartTm=1620&amp;pType=2</t>
  </si>
  <si>
    <t>https://ebsi.co.kr/ebs/lms/player/retrieveLmsPlayerHtml5Simple.ebs?medUrl=https://WSTR.ebsi.co.kr/M41M2101/S20210001189/S20210001189_1M4_100030011705.mp4&amp;strStartTm=1580&amp;pType=2</t>
  </si>
  <si>
    <t>https://ebsi.co.kr/ebs/lms/player/retrieveLmsPlayerHtml5Simple.ebs?medUrl=https://WSTR.ebsi.co.kr/M41M2101/S20210001189/S20210001189_1M4_100030011706.mp4&amp;strStartTm=1897&amp;pType=2</t>
  </si>
  <si>
    <t>https://ebsi.co.kr/ebs/lms/player/retrieveLmsPlayerHtml5Simple.ebs?medUrl=https://WSTR.ebsi.co.kr/M41M2101/S20210001189/S20210001189_1M4_100030011705.mp4&amp;strStartTm=2116&amp;pType=2</t>
  </si>
  <si>
    <t>https://ebsi.co.kr/ebs/lms/player/retrieveLmsPlayerHtml5Simple.ebs?medUrl=https://WSTR.ebsi.co.kr/M41M2101/S20210001189/S20210001189_1M4_100030011705.mp4&amp;strStartTm=2888&amp;pType=2</t>
  </si>
  <si>
    <t>https://ebsi.co.kr/ebs/lms/player/retrieveLmsPlayerHtml5Simple.ebs?medUrl=https://WSTR.ebsi.co.kr/M41M2101/S20210001189/S20210001189_1M4_100030011706.mp4&amp;strStartTm=2519&amp;pType=2</t>
  </si>
  <si>
    <t>https://ebsi.co.kr/ebs/lms/player/retrieveLmsPlayerHtml5Simple.ebs?medUrl=https://WSTR.ebsi.co.kr/M41M2101/S20210001189/S20210001189_1M4_100030011705.mp4&amp;strStartTm=2948&amp;pType=2</t>
  </si>
  <si>
    <t>https://ebsi.co.kr/ebs/lms/player/retrieveLmsPlayerHtml5Simple.ebs?medUrl=https://WSTR.ebsi.co.kr/M41M2101/S20210001189/S20210001189_1M4_100030011706.mp4&amp;strStartTm=2558&amp;pType=2</t>
  </si>
  <si>
    <t>https://ebsi.co.kr/ebs/lms/player/retrieveLmsPlayerHtml5Simple.ebs?medUrl=https://WSTR.ebsi.co.kr/M41M2101/S20210001189/S20210001189_1M4_100030011705.mp4&amp;strStartTm=3096&amp;pType=2</t>
  </si>
  <si>
    <t>https://ebsi.co.kr/ebs/lms/player/retrieveLmsPlayerHtml5Simple.ebs?medUrl=https://WSTR.ebsi.co.kr/M41M2101/S20210001189/S20210001189_1M4_100030011706.mp4&amp;strStartTm=3190&amp;pType=2</t>
  </si>
  <si>
    <t>https://ebsi.co.kr/ebs/lms/player/retrieveLmsPlayerHtml5Simple.ebs?medUrl=https://WSTR.ebsi.co.kr/M41M2101/S20210001003/S20210001003_1M4_100030008430.mp4&amp;strStartTm=169&amp;pType=2</t>
  </si>
  <si>
    <t>https://ebsi.co.kr/ebs/lms/player/retrieveLmsPlayerHtml5Simple.ebs?medUrl=https://WSTR.ebsi.co.kr/M41M2101/S20210001003/S20210001003_1M4_100030008431.mp4&amp;strStartTm=206&amp;pType=2</t>
  </si>
  <si>
    <t>https://ebsi.co.kr/ebs/lms/player/retrieveLmsPlayerHtml5Simple.ebs?medUrl=https://WSTR.ebsi.co.kr/M41M2101/S20210001003/S20210001003_1M4_100030008430.mp4&amp;strStartTm=259&amp;pType=2</t>
  </si>
  <si>
    <t>https://ebsi.co.kr/ebs/lms/player/retrieveLmsPlayerHtml5Simple.ebs?medUrl=https://WSTR.ebsi.co.kr/M41M2101/S20210001003/S20210001003_1M4_100030008431.mp4&amp;strStartTm=262&amp;pType=2</t>
  </si>
  <si>
    <t>https://ebsi.co.kr/ebs/lms/player/retrieveLmsPlayerHtml5Simple.ebs?medUrl=https://WSTR.ebsi.co.kr/M41M2101/S20210001003/S20210001003_1M4_100030008431.mp4&amp;strStartTm=348&amp;pType=2</t>
  </si>
  <si>
    <t>https://ebsi.co.kr/ebs/lms/player/retrieveLmsPlayerHtml5Simple.ebs?medUrl=https://WSTR.ebsi.co.kr/M41M2101/S20210001003/S20210001003_1M4_100030008430.mp4&amp;strStartTm=447&amp;pType=2</t>
  </si>
  <si>
    <t>https://ebsi.co.kr/ebs/lms/player/retrieveLmsPlayerHtml5Simple.ebs?medUrl=https://WSTR.ebsi.co.kr/M41M2101/S20210001003/S20210001003_1M4_100030008430.mp4&amp;strStartTm=673&amp;pType=2</t>
  </si>
  <si>
    <t>https://ebsi.co.kr/ebs/lms/player/retrieveLmsPlayerHtml5Simple.ebs?medUrl=https://WSTR.ebsi.co.kr/M41M2101/S20210001003/S20210001003_1M4_100030008431.mp4&amp;strStartTm=516&amp;pType=2</t>
  </si>
  <si>
    <t>https://ebsi.co.kr/ebs/lms/player/retrieveLmsPlayerHtml5Simple.ebs?medUrl=https://WSTR.ebsi.co.kr/M41M2101/S20210001003/S20210001003_1M4_100030008431.mp4&amp;strStartTm=796&amp;pType=2</t>
  </si>
  <si>
    <t>https://ebsi.co.kr/ebs/lms/player/retrieveLmsPlayerHtml5Simple.ebs?medUrl=https://WSTR.ebsi.co.kr/M41M2101/S20210001003/S20210001003_1M4_100030008430.mp4&amp;strStartTm=906&amp;pType=2</t>
  </si>
  <si>
    <t>https://ebsi.co.kr/ebs/lms/player/retrieveLmsPlayerHtml5Simple.ebs?medUrl=https://WSTR.ebsi.co.kr/M41M2101/S20210001003/S20210001003_1M4_100030008431.mp4&amp;strStartTm=1109&amp;pType=2</t>
  </si>
  <si>
    <t>https://ebsi.co.kr/ebs/lms/player/retrieveLmsPlayerHtml5Simple.ebs?medUrl=https://WSTR.ebsi.co.kr/M41M2101/S20210001003/S20210001003_1M4_100030008430.mp4&amp;strStartTm=1272&amp;pType=2</t>
  </si>
  <si>
    <t>https://ebsi.co.kr/ebs/lms/player/retrieveLmsPlayerHtml5Simple.ebs?medUrl=https://WSTR.ebsi.co.kr/M41M2101/S20210001003/S20210001003_1M4_100030008430.mp4&amp;strStartTm=1718&amp;pType=2</t>
  </si>
  <si>
    <t>https://ebsi.co.kr/ebs/lms/player/retrieveLmsPlayerHtml5Simple.ebs?medUrl=https://WSTR.ebsi.co.kr/M41M2101/S20210001003/S20210001003_1M4_100030008431.mp4&amp;strStartTm=1516&amp;pType=2</t>
  </si>
  <si>
    <t>https://ebsi.co.kr/ebs/lms/player/retrieveLmsPlayerHtml5Simple.ebs?medUrl=https://WSTR.ebsi.co.kr/M41M2101/S20210001003/S20210001003_1M4_100030008430.mp4&amp;strStartTm=2294&amp;pType=2</t>
  </si>
  <si>
    <t>https://ebsi.co.kr/ebs/lms/player/retrieveLmsPlayerHtml5Simple.ebs?medUrl=https://WSTR.ebsi.co.kr/M41M2101/S20210001003/S20210001003_1M4_100030008430.mp4&amp;strStartTm=3033&amp;pType=2</t>
  </si>
  <si>
    <t>https://ebsi.co.kr/ebs/lms/player/retrieveLmsPlayerHtml5Simple.ebs?medUrl=https://WSTR.ebsi.co.kr/M41M2101/S20210001003/S20210001003_1M4_100030008431.mp4&amp;strStartTm=2442&amp;pType=2</t>
  </si>
  <si>
    <t>https://ebsi.co.kr/ebs/lms/player/retrieveLmsPlayerHtml5Simple.ebs?medUrl=https://WSTR.ebsi.co.kr/M41M2101/S20210001003/S20210001003_1M4_100030008430.mp4&amp;strStartTm=3082&amp;pType=2</t>
  </si>
  <si>
    <t>https://ebsi.co.kr/ebs/lms/player/retrieveLmsPlayerHtml5Simple.ebs?medUrl=https://WSTR.ebsi.co.kr/M41M2101/S20210001003/S20210001003_1M4_100030008431.mp4&amp;strStartTm=2499&amp;pType=2</t>
  </si>
  <si>
    <t>https://ebsi.co.kr/ebs/lms/player/retrieveLmsPlayerHtml5Simple.ebs?medUrl=https://WSTR.ebsi.co.kr/M41M2101/S20210001003/S20210001003_1M4_100030008431.mp4&amp;strStartTm=2729&amp;pType=2</t>
  </si>
  <si>
    <t>https://ebsi.co.kr/ebs/lms/player/retrieveLmsPlayerHtml5Simple.ebs?medUrl=https://WSTR.ebsi.co.kr/M41M2101/S20210001003/S20210001003_1M4_100030008430.mp4&amp;strStartTm=3180&amp;pType=2</t>
  </si>
  <si>
    <t>https://ebsi.co.kr/ebs/lms/player/retrieveLmsPlayerHtml5Simple.ebs?medUrl=https://WSTR.ebsi.co.kr/M41M2101/S20210001003/S20210001003_1M4_100030008431.mp4&amp;strStartTm=3287&amp;pType=2</t>
  </si>
  <si>
    <t>https://WSTR.ebsi.co.kr/M41M2101/S20210000761/S20210000761_1M4_100030001259.mp4</t>
    <phoneticPr fontId="1" type="noConversion"/>
  </si>
  <si>
    <t>https://ebsi.co.kr/ebs/lms/player/retrieveLmsPlayerHtml5Simple.ebs?medUrl=https://WSTR.ebsi.co.kr/M41M2101/S20210000761/S20210000761_1M4_100030001258.mp4&amp;strStartTm=125&amp;pType=2</t>
  </si>
  <si>
    <t>https://ebsi.co.kr/ebs/lms/player/retrieveLmsPlayerHtml5Simple.ebs?medUrl=https://WSTR.ebsi.co.kr/M41M2101/S20210000761/S20210000761_1M4_100030001259.mp4&amp;strStartTm=215&amp;pType=2</t>
  </si>
  <si>
    <t>https://ebsi.co.kr/ebs/lms/player/retrieveLmsPlayerHtml5Simple.ebs?medUrl=https://WSTR.ebsi.co.kr/M41M2101/S20210000761/S20210000761_1M4_100030001258.mp4&amp;strStartTm=243&amp;pType=2</t>
  </si>
  <si>
    <t>https://ebsi.co.kr/ebs/lms/player/retrieveLmsPlayerHtml5Simple.ebs?medUrl=https://WSTR.ebsi.co.kr/M41M2101/S20210000761/S20210000761_1M4_100030001259.mp4&amp;strStartTm=304&amp;pType=2</t>
  </si>
  <si>
    <t>https://ebsi.co.kr/ebs/lms/player/retrieveLmsPlayerHtml5Simple.ebs?medUrl=https://WSTR.ebsi.co.kr/M41M2101/S20210000761/S20210000761_1M4_100030001259.mp4&amp;strStartTm=397&amp;pType=2</t>
  </si>
  <si>
    <t>https://ebsi.co.kr/ebs/lms/player/retrieveLmsPlayerHtml5Simple.ebs?medUrl=https://WSTR.ebsi.co.kr/M41M2101/S20210000761/S20210000761_1M4_100030001259.mp4&amp;strStartTm=510&amp;pType=2</t>
  </si>
  <si>
    <t>https://ebsi.co.kr/ebs/lms/player/retrieveLmsPlayerHtml5Simple.ebs?medUrl=https://WSTR.ebsi.co.kr/M41M2101/S20210000761/S20210000761_1M4_100030001258.mp4&amp;strStartTm=477&amp;pType=2</t>
  </si>
  <si>
    <t>https://ebsi.co.kr/ebs/lms/player/retrieveLmsPlayerHtml5Simple.ebs?medUrl=https://WSTR.ebsi.co.kr/M41M2101/S20210000761/S20210000761_1M4_100030001259.mp4&amp;strStartTm=726&amp;pType=2</t>
  </si>
  <si>
    <t>https://ebsi.co.kr/ebs/lms/player/retrieveLmsPlayerHtml5Simple.ebs?medUrl=https://WSTR.ebsi.co.kr/M41M2101/S20210000761/S20210000761_1M4_100030001258.mp4&amp;strStartTm=766&amp;pType=2</t>
  </si>
  <si>
    <t>https://ebsi.co.kr/ebs/lms/player/retrieveLmsPlayerHtml5Simple.ebs?medUrl=https://WSTR.ebsi.co.kr/M41M2101/S20210000761/S20210000761_1M4_100030001258.mp4&amp;strStartTm=995&amp;pType=2</t>
  </si>
  <si>
    <t>https://ebsi.co.kr/ebs/lms/player/retrieveLmsPlayerHtml5Simple.ebs?medUrl=https://WSTR.ebsi.co.kr/M41M2101/S20210000761/S20210000761_1M4_100030001259.mp4&amp;strStartTm=970&amp;pType=2</t>
  </si>
  <si>
    <t>https://ebsi.co.kr/ebs/lms/player/retrieveLmsPlayerHtml5Simple.ebs?medUrl=https://WSTR.ebsi.co.kr/M41M2101/S20210000761/S20210000761_1M4_100030001258.mp4&amp;strStartTm=1344&amp;pType=2</t>
  </si>
  <si>
    <t>https://ebsi.co.kr/ebs/lms/player/retrieveLmsPlayerHtml5Simple.ebs?medUrl=https://WSTR.ebsi.co.kr/M41M2101/S20210000761/S20210000761_1M4_100030001258.mp4&amp;strStartTm=1852&amp;pType=2</t>
  </si>
  <si>
    <t>https://ebsi.co.kr/ebs/lms/player/retrieveLmsPlayerHtml5Simple.ebs?medUrl=https://WSTR.ebsi.co.kr/M41M2101/S20210000761/S20210000761_1M4_100030001259.mp4&amp;strStartTm=1396&amp;pType=2</t>
  </si>
  <si>
    <t>https://ebsi.co.kr/ebs/lms/player/retrieveLmsPlayerHtml5Simple.ebs?medUrl=https://WSTR.ebsi.co.kr/M41M2101/S20210000761/S20210000761_1M4_100030001258.mp4&amp;strStartTm=2334&amp;pType=2</t>
  </si>
  <si>
    <t>https://ebsi.co.kr/ebs/lms/player/retrieveLmsPlayerHtml5Simple.ebs?medUrl=https://WSTR.ebsi.co.kr/M41M2101/S20210000761/S20210000761_1M4_100030001258.mp4&amp;strStartTm=3002&amp;pType=2</t>
  </si>
  <si>
    <t>https://ebsi.co.kr/ebs/lms/player/retrieveLmsPlayerHtml5Simple.ebs?medUrl=https://WSTR.ebsi.co.kr/M41M2101/S20210000761/S20210000761_1M4_100030001259.mp4&amp;strStartTm=2193&amp;pType=2</t>
  </si>
  <si>
    <t>https://ebsi.co.kr/ebs/lms/player/retrieveLmsPlayerHtml5Simple.ebs?medUrl=https://WSTR.ebsi.co.kr/M41M2101/S20210000761/S20210000761_1M4_100030001258.mp4&amp;strStartTm=3072&amp;pType=2</t>
  </si>
  <si>
    <t>https://ebsi.co.kr/ebs/lms/player/retrieveLmsPlayerHtml5Simple.ebs?medUrl=https://WSTR.ebsi.co.kr/M41M2101/S20210000761/S20210000761_1M4_100030001259.mp4&amp;strStartTm=2279&amp;pType=2</t>
  </si>
  <si>
    <t>https://ebsi.co.kr/ebs/lms/player/retrieveLmsPlayerHtml5Simple.ebs?medUrl=https://WSTR.ebsi.co.kr/M41M2101/S20210000761/S20210000761_1M4_100030001259.mp4&amp;strStartTm=2579&amp;pType=2</t>
  </si>
  <si>
    <t>https://ebsi.co.kr/ebs/lms/player/retrieveLmsPlayerHtml5Simple.ebs?medUrl=https://WSTR.ebsi.co.kr/M41M2101/S20210000761/S20210000761_1M4_100030001258.mp4&amp;strStartTm=3180&amp;pType=2</t>
  </si>
  <si>
    <t>https://ebsi.co.kr/ebs/lms/player/retrieveLmsPlayerHtml5Simple.ebs?medUrl=https://WSTR.ebsi.co.kr/M41M2101/S20210000761/S20210000761_1M4_100030001259.mp4&amp;strStartTm=3383&amp;pType=2</t>
  </si>
  <si>
    <t>문항 번호</t>
    <phoneticPr fontId="1" type="noConversion"/>
  </si>
  <si>
    <t>분</t>
    <phoneticPr fontId="1" type="noConversion"/>
  </si>
  <si>
    <t>초</t>
    <phoneticPr fontId="1" type="noConversion"/>
  </si>
  <si>
    <t>https://ebsi.co.kr/ebs/lms/player/retrieveLmsPlayerHtml5Simple.ebs?medUrl=https://WSTR.ebsi.co.kr/M41M2201/S20220000620/S20220000620_1M4_100030028821.mp4&amp;strStartTm=2176&amp;pType=2</t>
    <phoneticPr fontId="1" type="noConversion"/>
  </si>
  <si>
    <t>https://ebsi.co.kr/ebs/lms/player/retrieveLmsPlayerHtml5Simple.ebs?medUrl=https://WSTR.ebsi.co.kr/M41M2201/S20220000268/S20220000268_1M4_100030024243.mp4&amp;strStartTm=3213&amp;pType=2</t>
    <phoneticPr fontId="1" type="noConversion"/>
  </si>
  <si>
    <t>https://ebsi.co.kr/ebs/lms/player/retrieveLmsPlayerHtml5Simple.ebs?medUrl=https://WSTR.ebsi.co.kr/M41M2101/S20210001189/S20210001189_1M4_100030011706.mp4&amp;strStartTm=2728&amp;pType=2</t>
    <phoneticPr fontId="1" type="noConversion"/>
  </si>
  <si>
    <t>1. 지수함수와 로그함수</t>
    <phoneticPr fontId="1" type="noConversion"/>
  </si>
  <si>
    <t>2. 삼각함수</t>
    <phoneticPr fontId="1" type="noConversion"/>
  </si>
  <si>
    <t>3. 수열</t>
    <phoneticPr fontId="1" type="noConversion"/>
  </si>
  <si>
    <t>1. 함수의 극한과 연속</t>
    <phoneticPr fontId="1" type="noConversion"/>
  </si>
  <si>
    <t>2. 미분</t>
    <phoneticPr fontId="1" type="noConversion"/>
  </si>
  <si>
    <t>3. 적분</t>
    <phoneticPr fontId="1" type="noConversion"/>
  </si>
  <si>
    <t>확률과 통계</t>
    <phoneticPr fontId="1" type="noConversion"/>
  </si>
  <si>
    <t>1. 경우의 수</t>
    <phoneticPr fontId="1" type="noConversion"/>
  </si>
  <si>
    <t>M. 여러 가지 순열과 중복 조합</t>
    <phoneticPr fontId="1" type="noConversion"/>
  </si>
  <si>
    <t>원순열</t>
    <phoneticPr fontId="1" type="noConversion"/>
  </si>
  <si>
    <t>확률과 통계-1. 경우의 수-M. 여러 가지 순열과 중복 조합-원순열</t>
  </si>
  <si>
    <t>수학Ⅰ-1. 지수함수와 로그함수-A. 지수와 로그-거듭제곱근</t>
  </si>
  <si>
    <t>수학Ⅰ-1. 지수함수와 로그함수-A. 지수와 로그-지수의 연산</t>
  </si>
  <si>
    <t>수학Ⅰ-1. 지수함수와 로그함수-A. 지수와 로그-로그의 연산</t>
  </si>
  <si>
    <t>수학Ⅰ-1. 지수함수와 로그함수-B. 지수함수와 로그함수-지수함수의 그래프</t>
  </si>
  <si>
    <t>수학Ⅰ-1. 지수함수와 로그함수-B. 지수함수와 로그함수-로그함수의 그래프</t>
  </si>
  <si>
    <t>수학Ⅰ-1. 지수함수와 로그함수-B. 지수함수와 로그함수-방정식과 부등식에의 활용</t>
  </si>
  <si>
    <t>수학Ⅰ-1. 지수함수와 로그함수-B. 지수함수와 로그함수-제한된 범위에서 최대 또는 최소</t>
  </si>
  <si>
    <t>수학Ⅰ-1. 지수함수와 로그함수-B. 지수함수와 로그함수-지수, 로그가 정수가 되기 위한 조건</t>
  </si>
  <si>
    <t>수학Ⅰ-1. 지수함수와 로그함수-B. 지수함수와 로그함수-명제의 진위 판단</t>
  </si>
  <si>
    <t>수학Ⅰ-1. 지수함수와 로그함수-B. 지수함수와 로그함수-그래프에서 도형의 성질</t>
  </si>
  <si>
    <t>수학Ⅰ-2. 삼각함수-C. 삼각함수-삼각함수의 그래프</t>
  </si>
  <si>
    <t>수학Ⅰ-2. 삼각함수-C. 삼각함수-삼각함수의 값</t>
  </si>
  <si>
    <t>수학Ⅰ-2. 삼각함수-C. 삼각함수-방정식과 부등식에의 활용</t>
  </si>
  <si>
    <t>수학Ⅰ-2. 삼각함수-C. 삼각함수-함수의 최대 또는 최소</t>
  </si>
  <si>
    <t>수학Ⅰ-2. 삼각함수-C. 삼각함수-사인법칙과 코사인법칙</t>
  </si>
  <si>
    <t>수학Ⅰ-3. 수열-D. 등차수열과 등비수열-등차수열</t>
  </si>
  <si>
    <t>수학Ⅰ-3. 수열-D. 등차수열과 등비수열-등비수열</t>
  </si>
  <si>
    <t>수학Ⅰ-3. 수열-E. 수열의 합-시그마의 뜻과 성질</t>
  </si>
  <si>
    <t>수학Ⅰ-3. 수열-E. 수열의 합-수열의 합과 일반항 사이의 관계</t>
  </si>
  <si>
    <t>수학Ⅰ-3. 수열-E. 수열의 합-여러 가지 수열의 합</t>
  </si>
  <si>
    <t>수학Ⅰ-3. 수열-F. 수학적 귀납법-수열의 귀납적 정의</t>
  </si>
  <si>
    <t>수학Ⅱ-1. 함수의 극한과 연속-G. 함수의 극한-함수의 극한</t>
  </si>
  <si>
    <t>수학Ⅱ-1. 함수의 극한과 연속-G. 함수의 극한-그래프와 도형의 성질에 관한 극한</t>
  </si>
  <si>
    <t>수학Ⅱ-1. 함수의 극한과 연속-H. 함수의 연속-함수의 연속</t>
  </si>
  <si>
    <t>수학Ⅱ-1. 함수의 극한과 연속-H. 함수의 연속-조건을 만족하는 함수의 추론</t>
  </si>
  <si>
    <t>수학Ⅱ-2. 미분-I. 도함수-미분계수와 도함수</t>
  </si>
  <si>
    <t>수학Ⅱ-2. 미분-I. 도함수-곱함수의 미분법</t>
  </si>
  <si>
    <t>수학Ⅱ-2. 미분-I. 도함수-미분가능성</t>
  </si>
  <si>
    <t>수학Ⅱ-2. 미분-J. 도함수의 활용-접선의 방정식</t>
  </si>
  <si>
    <t>수학Ⅱ-2. 미분-J. 도함수의 활용-방정식과 부등식에의 활용</t>
  </si>
  <si>
    <t>수학Ⅱ-2. 미분-J. 도함수의 활용-극대와 극소</t>
  </si>
  <si>
    <t>수학Ⅱ-2. 미분-J. 도함수의 활용-그래프의 개형</t>
  </si>
  <si>
    <t>수학Ⅱ-2. 미분-J. 도함수의 활용-함수의 추론</t>
  </si>
  <si>
    <t>수학Ⅱ-2. 미분-J. 도함수의 활용-속도와 가속도</t>
  </si>
  <si>
    <t>수학Ⅱ-3. 적분-K. 부정적분-부정적분</t>
  </si>
  <si>
    <t>수학Ⅱ-3. 적분-L. 정적분-정적분</t>
  </si>
  <si>
    <t>수학Ⅱ-3. 적분-L. 정적분-미적분학의 기본 정리</t>
  </si>
  <si>
    <t>수학Ⅱ-3. 적분-L. 정적분-곡선 사이의 넓이</t>
  </si>
  <si>
    <t>수학Ⅱ-3. 적분-L. 정적분-속도와 거리</t>
  </si>
  <si>
    <t>중복 순열</t>
    <phoneticPr fontId="1" type="noConversion"/>
  </si>
  <si>
    <t>같은 것이 있는 순열</t>
    <phoneticPr fontId="1" type="noConversion"/>
  </si>
  <si>
    <t>중복 조합</t>
    <phoneticPr fontId="1" type="noConversion"/>
  </si>
  <si>
    <t>N. 이항정리와 이항계수</t>
    <phoneticPr fontId="1" type="noConversion"/>
  </si>
  <si>
    <t>전개식의 계수</t>
    <phoneticPr fontId="1" type="noConversion"/>
  </si>
  <si>
    <t>이항계수의 성질</t>
    <phoneticPr fontId="1" type="noConversion"/>
  </si>
  <si>
    <t>수학적 확률</t>
    <phoneticPr fontId="1" type="noConversion"/>
  </si>
  <si>
    <t>O. 수학적 확률</t>
    <phoneticPr fontId="1" type="noConversion"/>
  </si>
  <si>
    <t>조건부 확률</t>
    <phoneticPr fontId="1" type="noConversion"/>
  </si>
  <si>
    <t>독립과 종속</t>
    <phoneticPr fontId="1" type="noConversion"/>
  </si>
  <si>
    <t>P. 조건부 확률</t>
    <phoneticPr fontId="1" type="noConversion"/>
  </si>
  <si>
    <t>이산확률분포</t>
    <phoneticPr fontId="1" type="noConversion"/>
  </si>
  <si>
    <t>이항분포</t>
    <phoneticPr fontId="1" type="noConversion"/>
  </si>
  <si>
    <t>연속확률분포</t>
    <phoneticPr fontId="1" type="noConversion"/>
  </si>
  <si>
    <t>정규분포</t>
    <phoneticPr fontId="1" type="noConversion"/>
  </si>
  <si>
    <t>이항분포와 정규분포의 관계</t>
    <phoneticPr fontId="1" type="noConversion"/>
  </si>
  <si>
    <t>표본평균</t>
    <phoneticPr fontId="1" type="noConversion"/>
  </si>
  <si>
    <t>표본평균의 분포</t>
    <phoneticPr fontId="1" type="noConversion"/>
  </si>
  <si>
    <t>모평균의 추정</t>
    <phoneticPr fontId="1" type="noConversion"/>
  </si>
  <si>
    <t>Q. 확률분포</t>
    <phoneticPr fontId="1" type="noConversion"/>
  </si>
  <si>
    <t>R. 통계적 추정</t>
    <phoneticPr fontId="1" type="noConversion"/>
  </si>
  <si>
    <t>분류번호</t>
    <phoneticPr fontId="1" type="noConversion"/>
  </si>
  <si>
    <t>확률과 통계-1. 경우의 수-N. 이항정리와 이항계수-전개식의 계수</t>
  </si>
  <si>
    <t>https://WSTR.ebsi.co.kr/M41M2101/S20210000761/S20210000761_1M4_100030001261.mp4</t>
    <phoneticPr fontId="1" type="noConversion"/>
  </si>
  <si>
    <t>공통</t>
    <phoneticPr fontId="1" type="noConversion"/>
  </si>
  <si>
    <t>확통</t>
    <phoneticPr fontId="1" type="noConversion"/>
  </si>
  <si>
    <t>확률과 통계-1. 경우의 수-M. 여러 가지 순열과 중복 조합-같은 것이 있는 순열</t>
  </si>
  <si>
    <t>https://ebsi.co.kr/ebs/lms/player/retrieveLmsPlayerHtml5Simple.ebs?medUrl=https://WSTR.ebsi.co.kr/M41M2101/S20210000761/S20210000761_1M4_100030001261.mp4&amp;strStartTm=608&amp;pType=2</t>
  </si>
  <si>
    <t>https://ebsi.co.kr/ebs/lms/player/retrieveLmsPlayerHtml5Simple.ebs?medUrl=https://WSTR.ebsi.co.kr/M41M2101/S20210000761/S20210000761_1M4_100030001261.mp4&amp;strStartTm=651&amp;pType=2</t>
  </si>
  <si>
    <t>https://ebsi.co.kr/ebs/lms/player/retrieveLmsPlayerHtml5Simple.ebs?medUrl=https://WSTR.ebsi.co.kr/M41M2101/S20210000761/S20210000761_1M4_100030001261.mp4&amp;strStartTm=749&amp;pType=2</t>
  </si>
  <si>
    <t>https://ebsi.co.kr/ebs/lms/player/retrieveLmsPlayerHtml5Simple.ebs?medUrl=https://WSTR.ebsi.co.kr/M41M2101/S20210000761/S20210000761_1M4_100030001261.mp4&amp;strStartTm=1423&amp;pType=2</t>
  </si>
  <si>
    <t>https://ebsi.co.kr/ebs/lms/player/retrieveLmsPlayerHtml5Simple.ebs?medUrl=https://WSTR.ebsi.co.kr/M41M2101/S20210000761/S20210000761_1M4_100030001261.mp4&amp;strStartTm=1776&amp;pType=2</t>
  </si>
  <si>
    <t>https://ebsi.co.kr/ebs/lms/player/retrieveLmsPlayerHtml5Simple.ebs?medUrl=https://WSTR.ebsi.co.kr/M41M2101/S20210000761/S20210000761_1M4_100030001261.mp4&amp;strStartTm=2079&amp;pType=2</t>
  </si>
  <si>
    <t>https://ebsi.co.kr/ebs/lms/player/retrieveLmsPlayerHtml5Simple.ebs?medUrl=https://WSTR.ebsi.co.kr/M41M2101/S20210000761/S20210000761_1M4_100030001261.mp4&amp;strStartTm=2605&amp;pType=2</t>
  </si>
  <si>
    <t>https://ebsi.co.kr/ebs/lms/player/retrieveLmsPlayerHtml5Simple.ebs?medUrl=https://WSTR.ebsi.co.kr/M41M2101/S20210001003/S20210001003_1M4_100030008433.mp4&amp;strStartTm=295&amp;pType=2</t>
  </si>
  <si>
    <t>https://ebsi.co.kr/ebs/lms/player/retrieveLmsPlayerHtml5Simple.ebs?medUrl=https://WSTR.ebsi.co.kr/M41M2101/S20210001003/S20210001003_1M4_100030008433.mp4&amp;strStartTm=458&amp;pType=2</t>
  </si>
  <si>
    <t>https://ebsi.co.kr/ebs/lms/player/retrieveLmsPlayerHtml5Simple.ebs?medUrl=https://WSTR.ebsi.co.kr/M41M2101/S20210001003/S20210001003_1M4_100030008433.mp4&amp;strStartTm=700&amp;pType=2</t>
  </si>
  <si>
    <t>https://ebsi.co.kr/ebs/lms/player/retrieveLmsPlayerHtml5Simple.ebs?medUrl=https://WSTR.ebsi.co.kr/M41M2101/S20210001003/S20210001003_1M4_100030008433.mp4&amp;strStartTm=925&amp;pType=2</t>
  </si>
  <si>
    <t>https://ebsi.co.kr/ebs/lms/player/retrieveLmsPlayerHtml5Simple.ebs?medUrl=https://WSTR.ebsi.co.kr/M41M2101/S20210001003/S20210001003_1M4_100030008433.mp4&amp;strStartTm=1414&amp;pType=2</t>
  </si>
  <si>
    <t>https://ebsi.co.kr/ebs/lms/player/retrieveLmsPlayerHtml5Simple.ebs?medUrl=https://WSTR.ebsi.co.kr/M41M2101/S20210001003/S20210001003_1M4_100030008433.mp4&amp;strStartTm=2320&amp;pType=2</t>
  </si>
  <si>
    <t>https://ebsi.co.kr/ebs/lms/player/retrieveLmsPlayerHtml5Simple.ebs?medUrl=https://WSTR.ebsi.co.kr/M41M2101/S20210001003/S20210001003_1M4_100030008433.mp4&amp;strStartTm=1831&amp;pType=2</t>
    <phoneticPr fontId="1" type="noConversion"/>
  </si>
  <si>
    <t>확률과 통계-1. 경우의 수-M. 여러 가지 순열과 중복 조합-중복 순열</t>
  </si>
  <si>
    <t>https://ebsi.co.kr/ebs/lms/player/retrieveLmsPlayerHtml5Simple.ebs?medUrl=https://WSTR.ebsi.co.kr/M41M2101/S20210001189/S20210001189_1M4_100030011708.mp4&amp;strStartTm=232&amp;pType=2</t>
  </si>
  <si>
    <t>https://ebsi.co.kr/ebs/lms/player/retrieveLmsPlayerHtml5Simple.ebs?medUrl=https://WSTR.ebsi.co.kr/M41M2101/S20210001189/S20210001189_1M4_100030011708.mp4&amp;strStartTm=458&amp;pType=2</t>
  </si>
  <si>
    <t>https://ebsi.co.kr/ebs/lms/player/retrieveLmsPlayerHtml5Simple.ebs?medUrl=https://WSTR.ebsi.co.kr/M41M2101/S20210001189/S20210001189_1M4_100030011708.mp4&amp;strStartTm=631&amp;pType=2</t>
  </si>
  <si>
    <t>https://ebsi.co.kr/ebs/lms/player/retrieveLmsPlayerHtml5Simple.ebs?medUrl=https://WSTR.ebsi.co.kr/M41M2101/S20210001189/S20210001189_1M4_100030011708.mp4&amp;strStartTm=1007&amp;pType=2</t>
  </si>
  <si>
    <t>https://ebsi.co.kr/ebs/lms/player/retrieveLmsPlayerHtml5Simple.ebs?medUrl=https://WSTR.ebsi.co.kr/M41M2101/S20210001189/S20210001189_1M4_100030011708.mp4&amp;strStartTm=1404&amp;pType=2</t>
  </si>
  <si>
    <t>https://ebsi.co.kr/ebs/lms/player/retrieveLmsPlayerHtml5Simple.ebs?medUrl=https://WSTR.ebsi.co.kr/M41M2101/S20210001189/S20210001189_1M4_100030011708.mp4&amp;strStartTm=2011&amp;pType=2</t>
  </si>
  <si>
    <t>https://ebsi.co.kr/ebs/lms/player/retrieveLmsPlayerHtml5Simple.ebs?medUrl=https://WSTR.ebsi.co.kr/M41M2101/S20210001189/S20210001189_1M4_100030011708.mp4&amp;strStartTm=2731&amp;pType=2</t>
  </si>
  <si>
    <t>https://ebsi.co.kr/ebs/lms/player/retrieveLmsPlayerHtml5Simple.ebs?medUrl=https://WSTR.ebsi.co.kr/M41M2101/S20210001189/S20210001189_1M4_100030011708.mp4&amp;strStartTm=3086&amp;pType=2</t>
  </si>
  <si>
    <t>https://ebsi.co.kr/ebs/lms/player/retrieveLmsPlayerHtml5Simple.ebs?medUrl=https://WSTR.ebsi.co.kr/M41M2201/S20220000268/S20220000268_1M4_100030024244.mp4&amp;strStartTm=199&amp;pType=2</t>
  </si>
  <si>
    <t>https://ebsi.co.kr/ebs/lms/player/retrieveLmsPlayerHtml5Simple.ebs?medUrl=https://WSTR.ebsi.co.kr/M41M2201/S20220000268/S20220000268_1M4_100030024244.mp4&amp;strStartTm=368&amp;pType=2</t>
  </si>
  <si>
    <t>https://ebsi.co.kr/ebs/lms/player/retrieveLmsPlayerHtml5Simple.ebs?medUrl=https://WSTR.ebsi.co.kr/M41M2201/S20220000268/S20220000268_1M4_100030024244.mp4&amp;strStartTm=631&amp;pType=2</t>
  </si>
  <si>
    <t>https://ebsi.co.kr/ebs/lms/player/retrieveLmsPlayerHtml5Simple.ebs?medUrl=https://WSTR.ebsi.co.kr/M41M2201/S20220000268/S20220000268_1M4_100030024244.mp4&amp;strStartTm=1077&amp;pType=2</t>
  </si>
  <si>
    <t>https://ebsi.co.kr/ebs/lms/player/retrieveLmsPlayerHtml5Simple.ebs?medUrl=https://WSTR.ebsi.co.kr/M41M2201/S20220000268/S20220000268_1M4_100030024244.mp4&amp;strStartTm=1559&amp;pType=2</t>
  </si>
  <si>
    <t>https://ebsi.co.kr/ebs/lms/player/retrieveLmsPlayerHtml5Simple.ebs?medUrl=https://WSTR.ebsi.co.kr/M41M2201/S20220000268/S20220000268_1M4_100030024244.mp4&amp;strStartTm=1711&amp;pType=2</t>
  </si>
  <si>
    <t>https://ebsi.co.kr/ebs/lms/player/retrieveLmsPlayerHtml5Simple.ebs?medUrl=https://WSTR.ebsi.co.kr/M41M2201/S20220000415/S20220000415_1M4_100030027368.mp4&amp;strStartTm=325&amp;pType=2</t>
  </si>
  <si>
    <t>https://ebsi.co.kr/ebs/lms/player/retrieveLmsPlayerHtml5Simple.ebs?medUrl=https://WSTR.ebsi.co.kr/M41M2201/S20220000415/S20220000415_1M4_100030027368.mp4&amp;strStartTm=565&amp;pType=2</t>
  </si>
  <si>
    <t>https://ebsi.co.kr/ebs/lms/player/retrieveLmsPlayerHtml5Simple.ebs?medUrl=https://WSTR.ebsi.co.kr/M41M2201/S20220000415/S20220000415_1M4_100030027368.mp4&amp;strStartTm=891&amp;pType=2</t>
  </si>
  <si>
    <t>https://ebsi.co.kr/ebs/lms/player/retrieveLmsPlayerHtml5Simple.ebs?medUrl=https://WSTR.ebsi.co.kr/M41M2201/S20220000415/S20220000415_1M4_100030027368.mp4&amp;strStartTm=1191&amp;pType=2</t>
  </si>
  <si>
    <t>https://ebsi.co.kr/ebs/lms/player/retrieveLmsPlayerHtml5Simple.ebs?medUrl=https://WSTR.ebsi.co.kr/M41M2201/S20220000415/S20220000415_1M4_100030027368.mp4&amp;strStartTm=1661&amp;pType=2</t>
  </si>
  <si>
    <t>https://ebsi.co.kr/ebs/lms/player/retrieveLmsPlayerHtml5Simple.ebs?medUrl=https://WSTR.ebsi.co.kr/M41M2201/S20220000620/S20220000620_1M4_100030028822.mp4&amp;strStartTm=255&amp;pType=2</t>
  </si>
  <si>
    <t>https://ebsi.co.kr/ebs/lms/player/retrieveLmsPlayerHtml5Simple.ebs?medUrl=https://WSTR.ebsi.co.kr/M41M2201/S20220000620/S20220000620_1M4_100030028822.mp4&amp;strStartTm=396&amp;pType=2</t>
  </si>
  <si>
    <t>https://ebsi.co.kr/ebs/lms/player/retrieveLmsPlayerHtml5Simple.ebs?medUrl=https://WSTR.ebsi.co.kr/M41M2201/S20220000620/S20220000620_1M4_100030028822.mp4&amp;strStartTm=561&amp;pType=2</t>
  </si>
  <si>
    <t>https://ebsi.co.kr/ebs/lms/player/retrieveLmsPlayerHtml5Simple.ebs?medUrl=https://WSTR.ebsi.co.kr/M41M2201/S20220000620/S20220000620_1M4_100030028822.mp4&amp;strStartTm=820&amp;pType=2</t>
  </si>
  <si>
    <t>https://ebsi.co.kr/ebs/lms/player/retrieveLmsPlayerHtml5Simple.ebs?medUrl=https://WSTR.ebsi.co.kr/M41M2201/S20220000620/S20220000620_1M4_100030028822.mp4&amp;strStartTm=1180&amp;pType=2</t>
  </si>
  <si>
    <t>https://ebsi.co.kr/ebs/lms/player/retrieveLmsPlayerHtml5Simple.ebs?medUrl=https://WSTR.ebsi.co.kr/M41M2201/S20220000620/S20220000620_1M4_100030028822.mp4&amp;strStartTm=1598&amp;pType=2</t>
  </si>
  <si>
    <t>https://ebsi.co.kr/ebs/lms/player/retrieveLmsPlayerHtml5Simple.ebs?medUrl=https://WSTR.ebsi.co.kr/M41M2301/S20230000297/S20230000297_1M4_100030039326.mp4&amp;strStartTm=118&amp;pType=2</t>
  </si>
  <si>
    <t>https://ebsi.co.kr/ebs/lms/player/retrieveLmsPlayerHtml5Simple.ebs?medUrl=https://WSTR.ebsi.co.kr/M41M2301/S20230000297/S20230000297_1M4_100030039326.mp4&amp;strStartTm=252&amp;pType=2</t>
  </si>
  <si>
    <t>https://ebsi.co.kr/ebs/lms/player/retrieveLmsPlayerHtml5Simple.ebs?medUrl=https://WSTR.ebsi.co.kr/M41M2301/S20230000297/S20230000297_1M4_100030039326.mp4&amp;strStartTm=602&amp;pType=2</t>
  </si>
  <si>
    <t>https://ebsi.co.kr/ebs/lms/player/retrieveLmsPlayerHtml5Simple.ebs?medUrl=https://WSTR.ebsi.co.kr/M41M2301/S20230000297/S20230000297_1M4_100030039326.mp4&amp;strStartTm=897&amp;pType=2</t>
  </si>
  <si>
    <t>https://ebsi.co.kr/ebs/lms/player/retrieveLmsPlayerHtml5Simple.ebs?medUrl=https://WSTR.ebsi.co.kr/M41M2301/S20230000297/S20230000297_1M4_100030039326.mp4&amp;strStartTm=1259&amp;pType=2</t>
  </si>
  <si>
    <t>https://ebsi.co.kr/ebs/lms/player/retrieveLmsPlayerHtml5Simple.ebs?medUrl=https://WSTR.ebsi.co.kr/M41M2301/S20230000297/S20230000297_1M4_100030039326.mp4&amp;strStartTm=2535&amp;pType=2</t>
  </si>
  <si>
    <t>https://ebsi.co.kr/ebs/lms/player/retrieveLmsPlayerHtml5Simple.ebs?medUrl=https://WSTR.ebsi.co.kr/M41M2301/S20230000491/S20230000491_1M4_100030043587.mp4&amp;strStartTm=392&amp;pType=2</t>
  </si>
  <si>
    <t>https://ebsi.co.kr/ebs/lms/player/retrieveLmsPlayerHtml5Simple.ebs?medUrl=https://WSTR.ebsi.co.kr/M41M2301/S20230000491/S20230000491_1M4_100030043587.mp4&amp;strStartTm=450&amp;pType=2</t>
  </si>
  <si>
    <t>https://ebsi.co.kr/ebs/lms/player/retrieveLmsPlayerHtml5Simple.ebs?medUrl=https://WSTR.ebsi.co.kr/M41M2301/S20230000491/S20230000491_1M4_100030043587.mp4&amp;strStartTm=579&amp;pType=2</t>
  </si>
  <si>
    <t>https://ebsi.co.kr/ebs/lms/player/retrieveLmsPlayerHtml5Simple.ebs?medUrl=https://WSTR.ebsi.co.kr/M41M2301/S20230000491/S20230000491_1M4_100030043587.mp4&amp;strStartTm=789&amp;pType=2</t>
  </si>
  <si>
    <t>https://ebsi.co.kr/ebs/lms/player/retrieveLmsPlayerHtml5Simple.ebs?medUrl=https://WSTR.ebsi.co.kr/M41M2301/S20230000616/S20230000616_1M4_100030044876.mp4&amp;strStartTm=141&amp;pType=2</t>
  </si>
  <si>
    <t>https://ebsi.co.kr/ebs/lms/player/retrieveLmsPlayerHtml5Simple.ebs?medUrl=https://WSTR.ebsi.co.kr/M41M2301/S20230000616/S20230000616_1M4_100030044876.mp4&amp;strStartTm=281&amp;pType=2</t>
  </si>
  <si>
    <t>https://ebsi.co.kr/ebs/lms/player/retrieveLmsPlayerHtml5Simple.ebs?medUrl=https://WSTR.ebsi.co.kr/M41M2301/S20230000616/S20230000616_1M4_100030044876.mp4&amp;strStartTm=430&amp;pType=2</t>
  </si>
  <si>
    <t>https://ebsi.co.kr/ebs/lms/player/retrieveLmsPlayerHtml5Simple.ebs?medUrl=https://WSTR.ebsi.co.kr/M41M2301/S20230000616/S20230000616_1M4_100030044876.mp4&amp;strStartTm=660&amp;pType=2</t>
  </si>
  <si>
    <t>https://ebsi.co.kr/ebs/lms/player/retrieveLmsPlayerHtml5Simple.ebs?medUrl=https://WSTR.ebsi.co.kr/M41M2301/S20230000616/S20230000616_1M4_100030044876.mp4&amp;strStartTm=1098&amp;pType=2</t>
  </si>
  <si>
    <t>https://ebsi.co.kr/ebs/lms/player/retrieveLmsPlayerHtml5Simple.ebs?medUrl=https://WSTR.ebsi.co.kr/M41M2301/S20230000616/S20230000616_1M4_100030044876.mp4&amp;strStartTm=1477&amp;pType=2</t>
  </si>
  <si>
    <t>https://ebsi.co.kr/ebs/lms/player/retrieveLmsPlayerHtml5Simple.ebs?medUrl=https://WSTR.ebsi.co.kr/M41M2301/S20230000616/S20230000616_1M4_100030044876.mp4&amp;strStartTm=2076&amp;pType=2</t>
  </si>
  <si>
    <t>https://ebsi.co.kr/ebs/lms/player/retrieveLmsPlayerHtml5Simple.ebs?medUrl=https://WSTR.ebsi.co.kr/M41M2301/S20230000616/S20230000616_1M4_100030044876.mp4&amp;strStartTm=2444&amp;pType=2</t>
  </si>
  <si>
    <t>https://ebsi.co.kr/ebs/lms/player/retrieveLmsPlayerHtml5Simple.ebs?medUrl=https://WSTR.ebsi.co.kr/M41M2401/S20240000260/S20240000260_1M4_100030054382.mp4&amp;strStartTm=120&amp;pType=2</t>
  </si>
  <si>
    <t>https://ebsi.co.kr/ebs/lms/player/retrieveLmsPlayerHtml5Simple.ebs?medUrl=https://WSTR.ebsi.co.kr/M41M2401/S20240000260/S20240000260_1M4_100030054382.mp4&amp;strStartTm=210&amp;pType=2</t>
  </si>
  <si>
    <t>https://ebsi.co.kr/ebs/lms/player/retrieveLmsPlayerHtml5Simple.ebs?medUrl=https://WSTR.ebsi.co.kr/M41M2401/S20240000260/S20240000260_1M4_100030054382.mp4&amp;strStartTm=401&amp;pType=2</t>
  </si>
  <si>
    <t>https://ebsi.co.kr/ebs/lms/player/retrieveLmsPlayerHtml5Simple.ebs?medUrl=https://WSTR.ebsi.co.kr/M41M2401/S20240000260/S20240000260_1M4_100030054382.mp4&amp;strStartTm=670&amp;pType=2</t>
  </si>
  <si>
    <t>https://ebsi.co.kr/ebs/lms/player/retrieveLmsPlayerHtml5Simple.ebs?medUrl=https://WSTR.ebsi.co.kr/M41M2401/S20240000260/S20240000260_1M4_100030054382.mp4&amp;strStartTm=1219&amp;pType=2</t>
  </si>
  <si>
    <t>https://ebsi.co.kr/ebs/lms/player/retrieveLmsPlayerHtml5Simple.ebs?medUrl=https://WSTR.ebsi.co.kr/M41M2401/S20240000260/S20240000260_1M4_100030054382.mp4&amp;strStartTm=2090&amp;pType=2</t>
  </si>
  <si>
    <t>https://ebsi.co.kr/ebs/lms/player/retrieveLmsPlayerHtml5Simple.ebs?medUrl=https://WSTR.ebsi.co.kr/M41M2401/S20240000528/S20240000528_1M4_100030058242.mp4&amp;strStartTm=348&amp;pType=2</t>
  </si>
  <si>
    <t>https://ebsi.co.kr/ebs/lms/player/retrieveLmsPlayerHtml5Simple.ebs?medUrl=https://WSTR.ebsi.co.kr/M41M2401/S20240000528/S20240000528_1M4_100030058242.mp4&amp;strStartTm=386&amp;pType=2</t>
  </si>
  <si>
    <t>https://ebsi.co.kr/ebs/lms/player/retrieveLmsPlayerHtml5Simple.ebs?medUrl=https://WSTR.ebsi.co.kr/M41M2401/S20240000528/S20240000528_1M4_100030058242.mp4&amp;strStartTm=492&amp;pType=2</t>
  </si>
  <si>
    <t>https://ebsi.co.kr/ebs/lms/player/retrieveLmsPlayerHtml5Simple.ebs?medUrl=https://WSTR.ebsi.co.kr/M41M2401/S20240000528/S20240000528_1M4_100030058242.mp4&amp;strStartTm=792&amp;pType=2</t>
  </si>
  <si>
    <t>https://ebsi.co.kr/ebs/lms/player/retrieveLmsPlayerHtml5Simple.ebs?medUrl=https://WSTR.ebsi.co.kr/M41M2401/S20240000737/S20240000737_1M4_100030059809.mp4&amp;strStartTm=205&amp;pType=2</t>
  </si>
  <si>
    <t>https://ebsi.co.kr/ebs/lms/player/retrieveLmsPlayerHtml5Simple.ebs?medUrl=https://WSTR.ebsi.co.kr/M41M2401/S20240000737/S20240000737_1M4_100030059809.mp4&amp;strStartTm=273&amp;pType=2</t>
  </si>
  <si>
    <t>https://ebsi.co.kr/ebs/lms/player/retrieveLmsPlayerHtml5Simple.ebs?medUrl=https://WSTR.ebsi.co.kr/M41M2401/S20240000737/S20240000737_1M4_100030059809.mp4&amp;strStartTm=526&amp;pType=2</t>
  </si>
  <si>
    <t>https://ebsi.co.kr/ebs/lms/player/retrieveLmsPlayerHtml5Simple.ebs?medUrl=https://WSTR.ebsi.co.kr/M41M2401/S20240000737/S20240000737_1M4_100030059809.mp4&amp;strStartTm=682&amp;pType=2</t>
  </si>
  <si>
    <t>https://ebsi.co.kr/ebs/lms/player/retrieveLmsPlayerHtml5Simple.ebs?medUrl=https://WSTR.ebsi.co.kr/M41M2401/S20240000737/S20240000737_1M4_100030059809.mp4&amp;strStartTm=887&amp;pType=2</t>
  </si>
  <si>
    <t>https://ebsi.co.kr/ebs/lms/player/retrieveLmsPlayerHtml5Simple.ebs?medUrl=https://WSTR.ebsi.co.kr/M41M2401/S20240000737/S20240000737_1M4_100030059809.mp4&amp;strStartTm=1223&amp;pType=2</t>
  </si>
  <si>
    <t>https://ebsi.co.kr/ebs/lms/player/retrieveLmsPlayerHtml5Simple.ebs?medUrl=https://WSTR.ebsi.co.kr/M41M2401/S20240000737/S20240000737_1M4_100030059809.mp4&amp;strStartTm=1700&amp;pType=2</t>
  </si>
  <si>
    <t>https://WSTR.ebsi.co.kr/M41M2501/S20250000256/S20250000256_1M4_100030069839.mp4</t>
    <phoneticPr fontId="1" type="noConversion"/>
  </si>
  <si>
    <t>https://ebsi.co.kr/ebs/lms/player/retrieveLmsPlayerHtml5Simple.ebs?medUrl=https://WSTR.ebsi.co.kr/M41M2501/S20250000256/S20250000256_1M4_100030069839.mp4&amp;strStartTm=363&amp;pType=2</t>
  </si>
  <si>
    <t>https://ebsi.co.kr/ebs/lms/player/retrieveLmsPlayerHtml5Simple.ebs?medUrl=https://WSTR.ebsi.co.kr/M41M2501/S20250000256/S20250000256_1M4_100030069839.mp4&amp;strStartTm=390&amp;pType=2</t>
  </si>
  <si>
    <t>https://ebsi.co.kr/ebs/lms/player/retrieveLmsPlayerHtml5Simple.ebs?medUrl=https://WSTR.ebsi.co.kr/M41M2501/S20250000256/S20250000256_1M4_100030069839.mp4&amp;strStartTm=497&amp;pType=2</t>
  </si>
  <si>
    <t>https://ebsi.co.kr/ebs/lms/player/retrieveLmsPlayerHtml5Simple.ebs?medUrl=https://WSTR.ebsi.co.kr/M41M2501/S20250000256/S20250000256_1M4_100030069839.mp4&amp;strStartTm=690&amp;pType=2</t>
  </si>
  <si>
    <t>https://ebsi.co.kr/ebs/lms/player/retrieveLmsPlayerHtml5Simple.ebs?medUrl=https://WSTR.ebsi.co.kr/M41M2501/S20250000256/S20250000256_1M4_100030069839.mp4&amp;strStartTm=1071&amp;pType=2</t>
  </si>
  <si>
    <t>https://ebsi.co.kr/ebs/lms/player/retrieveLmsPlayerHtml5Simple.ebs?medUrl=https://WSTR.ebsi.co.kr/M41M2501/S20250000256/S20250000256_1M4_100030069839.mp4&amp;strStartTm=1359&amp;pType=2</t>
  </si>
  <si>
    <t>https://ebsi.co.kr/ebs/lms/player/retrieveLmsPlayerHtml5Simple.ebs?medUrl=https://WSTR.ebsi.co.kr/M41M2501/S20250000256/S20250000256_1M4_100030069839.mp4&amp;strStartTm=1971&amp;pType=2</t>
  </si>
  <si>
    <t>https://ebsi.co.kr/ebs/lms/player/retrieveLmsPlayerHtml5Simple.ebs?medUrl=https://WSTR.ebsi.co.kr/M41M2501/S20250000256/S20250000256_1M4_100030069839.mp4&amp;strStartTm=2302&amp;pType=2</t>
  </si>
  <si>
    <t>확률과 통계-1. 경우의 수-M. 여러 가지 순열과 중복 조합-중복 조합</t>
  </si>
  <si>
    <t>https://ebsi.co.kr/ebs/lms/player/retrieveLmsPlayerHtml5Simple.ebs?medUrl=https://WSTR.ebsi.co.kr/M41M2101/S20210000761/S20210000761_1M4_100030001261.mp4&amp;strStartTm=1048&amp;pType=2</t>
    <phoneticPr fontId="1" type="noConversion"/>
  </si>
  <si>
    <t>https://ebsi.co.kr/ebs/lms/player/retrieveLmsPlayerHtml5Simple.ebs?medUrl=https://WSTR.ebsi.co.kr/M41M2101/S20210001003/S20210001003_1M4_100030008433.mp4&amp;strStartTm=2781&amp;pType=2</t>
    <phoneticPr fontId="1" type="noConversion"/>
  </si>
  <si>
    <t>https://ebsi.co.kr/ebs/lms/player/retrieveLmsPlayerHtml5Simple.ebs?medUrl=https://WSTR.ebsi.co.kr/M41M2201/S20220000268/S20220000268_1M4_100030024244.mp4&amp;strStartTm=2030&amp;pType=2</t>
    <phoneticPr fontId="1" type="noConversion"/>
  </si>
  <si>
    <t>https://ebsi.co.kr/ebs/lms/player/retrieveLmsPlayerHtml5Simple.ebs?medUrl=https://WSTR.ebsi.co.kr/M41M2201/S20220000268/S20220000268_1M4_100030024244.mp4&amp;strStartTm=2445&amp;pType=2</t>
    <phoneticPr fontId="1" type="noConversion"/>
  </si>
  <si>
    <t>https://ebsi.co.kr/ebs/lms/player/retrieveLmsPlayerHtml5Simple.ebs?medUrl=https://WSTR.ebsi.co.kr/M41M2201/S20220000415/S20220000415_1M4_100030027368.mp4&amp;strStartTm=1998&amp;pType=2</t>
    <phoneticPr fontId="1" type="noConversion"/>
  </si>
  <si>
    <t>https://ebsi.co.kr/ebs/lms/player/retrieveLmsPlayerHtml5Simple.ebs?medUrl=https://WSTR.ebsi.co.kr/M41M2201/S20220000415/S20220000415_1M4_100030027368.mp4&amp;strStartTm=2504&amp;pType=2</t>
    <phoneticPr fontId="1" type="noConversion"/>
  </si>
  <si>
    <t>https://ebsi.co.kr/ebs/lms/player/retrieveLmsPlayerHtml5Simple.ebs?medUrl=https://WSTR.ebsi.co.kr/M41M2201/S20220000415/S20220000415_1M4_100030027368.mp4&amp;strStartTm=3049&amp;pType=2</t>
    <phoneticPr fontId="1" type="noConversion"/>
  </si>
  <si>
    <t>https://ebsi.co.kr/ebs/lms/player/retrieveLmsPlayerHtml5Simple.ebs?medUrl=https://WSTR.ebsi.co.kr/M41M2201/S20220000620/S20220000620_1M4_100030028822.mp4&amp;strStartTm=1957&amp;pType=2</t>
    <phoneticPr fontId="1" type="noConversion"/>
  </si>
  <si>
    <t>https://ebsi.co.kr/ebs/lms/player/retrieveLmsPlayerHtml5Simple.ebs?medUrl=https://WSTR.ebsi.co.kr/M41M2201/S20220000620/S20220000620_1M4_100030028822.mp4&amp;strStartTm=2647&amp;pType=2</t>
    <phoneticPr fontId="1" type="noConversion"/>
  </si>
  <si>
    <t>https://ebsi.co.kr/ebs/lms/player/retrieveLmsPlayerHtml5Simple.ebs?medUrl=https://WSTR.ebsi.co.kr/M41M2301/S20230000297/S20230000297_1M4_100030039326.mp4&amp;strStartTm=1536&amp;pType=2</t>
    <phoneticPr fontId="1" type="noConversion"/>
  </si>
  <si>
    <t>https://ebsi.co.kr/ebs/lms/player/retrieveLmsPlayerHtml5Simple.ebs?medUrl=https://WSTR.ebsi.co.kr/M41M2301/S20230000297/S20230000297_1M4_100030039326.mp4&amp;strStartTm=2822&amp;pType=2</t>
    <phoneticPr fontId="1" type="noConversion"/>
  </si>
  <si>
    <t>https://ebsi.co.kr/ebs/lms/player/retrieveLmsPlayerHtml5Simple.ebs?medUrl=https://WSTR.ebsi.co.kr/M41M2301/S20230000491/S20230000491_1M4_100030043587.mp4&amp;strStartTm=1051&amp;pType=2</t>
    <phoneticPr fontId="1" type="noConversion"/>
  </si>
  <si>
    <t>https://ebsi.co.kr/ebs/lms/player/retrieveLmsPlayerHtml5Simple.ebs?medUrl=https://WSTR.ebsi.co.kr/M41M2301/S20230000491/S20230000491_1M4_100030043587.mp4&amp;strStartTm=1523&amp;pType=2</t>
    <phoneticPr fontId="1" type="noConversion"/>
  </si>
  <si>
    <t>https://ebsi.co.kr/ebs/lms/player/retrieveLmsPlayerHtml5Simple.ebs?medUrl=https://WSTR.ebsi.co.kr/M41M2301/S20230000491/S20230000491_1M4_100030043587.mp4&amp;strStartTm=2312&amp;pType=2</t>
    <phoneticPr fontId="1" type="noConversion"/>
  </si>
  <si>
    <t>https://ebsi.co.kr/ebs/lms/player/retrieveLmsPlayerHtml5Simple.ebs?medUrl=https://WSTR.ebsi.co.kr/M41M2301/S20230000491/S20230000491_1M4_100030043587.mp4&amp;strStartTm=2704&amp;pType=2</t>
    <phoneticPr fontId="1" type="noConversion"/>
  </si>
  <si>
    <t>https://ebsi.co.kr/ebs/lms/player/retrieveLmsPlayerHtml5Simple.ebs?medUrl=https://WSTR.ebsi.co.kr/M41M2401/S20240000260/S20240000260_1M4_100030054382.mp4&amp;strStartTm=1406&amp;pType=2</t>
    <phoneticPr fontId="1" type="noConversion"/>
  </si>
  <si>
    <t>https://ebsi.co.kr/ebs/lms/player/retrieveLmsPlayerHtml5Simple.ebs?medUrl=https://WSTR.ebsi.co.kr/M41M2401/S20240000260/S20240000260_1M4_100030054382.mp4&amp;strStartTm=2310&amp;pType=2</t>
    <phoneticPr fontId="1" type="noConversion"/>
  </si>
  <si>
    <t>https://ebsi.co.kr/ebs/lms/player/retrieveLmsPlayerHtml5Simple.ebs?medUrl=https://WSTR.ebsi.co.kr/M41M2401/S20240000528/S20240000528_1M4_100030058242.mp4&amp;strStartTm=1050&amp;pType=2</t>
    <phoneticPr fontId="1" type="noConversion"/>
  </si>
  <si>
    <t>https://ebsi.co.kr/ebs/lms/player/retrieveLmsPlayerHtml5Simple.ebs?medUrl=https://WSTR.ebsi.co.kr/M41M2401/S20240000528/S20240000528_1M4_100030058242.mp4&amp;strStartTm=1876&amp;pType=2</t>
    <phoneticPr fontId="1" type="noConversion"/>
  </si>
  <si>
    <t>https://ebsi.co.kr/ebs/lms/player/retrieveLmsPlayerHtml5Simple.ebs?medUrl=https://WSTR.ebsi.co.kr/M41M2401/S20240000528/S20240000528_1M4_100030058242.mp4&amp;strStartTm=1327&amp;pType=2</t>
    <phoneticPr fontId="1" type="noConversion"/>
  </si>
  <si>
    <t>https://ebsi.co.kr/ebs/lms/player/retrieveLmsPlayerHtml5Simple.ebs?medUrl=https://WSTR.ebsi.co.kr/M41M2401/S20240000528/S20240000528_1M4_100030058242.mp4&amp;strStartTm=2280&amp;pType=2</t>
    <phoneticPr fontId="1" type="noConversion"/>
  </si>
  <si>
    <t>https://ebsi.co.kr/ebs/lms/player/retrieveLmsPlayerHtml5Simple.ebs?medUrl=https://WSTR.ebsi.co.kr/M41M2401/S20240000737/S20240000737_1M4_100030059809.mp4&amp;strStartTm=2323&amp;pType=2</t>
    <phoneticPr fontId="1" type="noConversion"/>
  </si>
  <si>
    <t>2. 확률</t>
    <phoneticPr fontId="1" type="noConversion"/>
  </si>
  <si>
    <t>3. 통계</t>
    <phoneticPr fontId="1" type="noConversion"/>
  </si>
  <si>
    <t>확률과 통계-2. 확률-O. 수학적 확률-수학적 확률</t>
  </si>
  <si>
    <t>확률과 통계-2. 확률-P. 조건부 확률-독립과 종속</t>
  </si>
  <si>
    <t>확률과 통계-2. 확률-P. 조건부 확률-조건부 확률</t>
  </si>
  <si>
    <t>확률과 통계-3. 통계-Q. 확률분포-연속확률분포</t>
  </si>
  <si>
    <t>확률과 통계-3. 통계-Q. 확률분포-이산확률분포</t>
  </si>
  <si>
    <t>확률과 통계-3. 통계-Q. 확률분포-이항분포</t>
  </si>
  <si>
    <t>확률과 통계-3. 통계-Q. 확률분포-이항분포와 정규분포의 관계</t>
  </si>
  <si>
    <t>확률과 통계-3. 통계-Q. 확률분포-정규분포</t>
  </si>
  <si>
    <t>확률과 통계-3. 통계-R. 통계적 추정-모평균의 추정</t>
  </si>
  <si>
    <t>확률과 통계-3. 통계-R. 통계적 추정-표본평균</t>
  </si>
  <si>
    <t>확률과 통계-3. 통계-R. 통계적 추정-표본평균의 분포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</si>
</sst>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left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horizontal="center" vertical="center" shrinkToFit="1"/>
    </xf>
    <xf numFmtId="0" fontId="0" fillId="2" borderId="2" xfId="0" applyFill="1" applyBorder="1" applyAlignment="1">
      <alignment horizontal="left" vertical="center" shrinkToFit="1"/>
    </xf>
    <xf numFmtId="0" fontId="0" fillId="2" borderId="2" xfId="0" applyFill="1" applyBorder="1" applyAlignment="1">
      <alignment horizontal="center" vertical="center" shrinkToFit="1"/>
    </xf>
    <xf numFmtId="0" fontId="2" fillId="2" borderId="2" xfId="1" applyFill="1" applyBorder="1" applyAlignment="1">
      <alignment horizontal="left" vertical="center" shrinkToFit="1"/>
    </xf>
    <xf numFmtId="0" fontId="2" fillId="0" borderId="0" xfId="1">
      <alignment vertical="center"/>
    </xf>
  </cellXfs>
  <cellStyles count="2">
    <cellStyle name="표준" xfId="0" builtinId="0"/>
    <cellStyle name="하이퍼링크" xfId="1" builtin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38100</xdr:rowOff>
    </xdr:from>
    <xdr:to>
      <xdr:col>9</xdr:col>
      <xdr:colOff>1714500</xdr:colOff>
      <xdr:row>0</xdr:row>
      <xdr:rowOff>152400</xdr:rowOff>
    </xdr:to>
    <xdr:sp macro="[0]!ExportToJSON" textlink="">
      <xdr:nvSpPr>
        <xdr:cNvPr id="2" name="직사각형 1">
          <a:extLst>
            <a:ext uri="{FF2B5EF4-FFF2-40B4-BE49-F238E27FC236}">
              <a16:creationId xmlns:a16="http://schemas.microsoft.com/office/drawing/2014/main" id="{4671B90C-58B4-443A-ABBD-FBA7A3EF9C4D}"/>
            </a:ext>
          </a:extLst>
        </xdr:cNvPr>
        <xdr:cNvSpPr/>
      </xdr:nvSpPr>
      <xdr:spPr>
        <a:xfrm>
          <a:off x="7143750" y="38100"/>
          <a:ext cx="1409700" cy="114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0</xdr:row>
      <xdr:rowOff>38100</xdr:rowOff>
    </xdr:from>
    <xdr:to>
      <xdr:col>11</xdr:col>
      <xdr:colOff>1714500</xdr:colOff>
      <xdr:row>0</xdr:row>
      <xdr:rowOff>152400</xdr:rowOff>
    </xdr:to>
    <xdr:sp macro="[0]!ExportToJSON" textlink="">
      <xdr:nvSpPr>
        <xdr:cNvPr id="2" name="직사각형 1">
          <a:extLst>
            <a:ext uri="{FF2B5EF4-FFF2-40B4-BE49-F238E27FC236}">
              <a16:creationId xmlns:a16="http://schemas.microsoft.com/office/drawing/2014/main" id="{1E220FAA-5279-47E4-87AE-BD694483A1B8}"/>
            </a:ext>
          </a:extLst>
        </xdr:cNvPr>
        <xdr:cNvSpPr/>
      </xdr:nvSpPr>
      <xdr:spPr>
        <a:xfrm>
          <a:off x="13592175" y="38100"/>
          <a:ext cx="1409700" cy="1143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ebsi.co.kr/ebs/lms/player/retrieveLmsPlayerHtml5Simple.ebs?medUrl=https://WSTR.ebsi.co.kr/M41M2401/S20240000528/S20240000528_1M4_100030058241.mp4&amp;strStartTm=418&amp;pType=2" TargetMode="External"/><Relationship Id="rId21" Type="http://schemas.openxmlformats.org/officeDocument/2006/relationships/hyperlink" Target="https://ebsi.co.kr/ebs/lms/player/retrieveLmsPlayerHtml5Simple.ebs?medUrl=https://WSTR.ebsi.co.kr/M41M2401/S20240000737/S20240000737_1M4_100030059808.mp4&amp;strStartTm=3174&amp;pType=2" TargetMode="External"/><Relationship Id="rId42" Type="http://schemas.openxmlformats.org/officeDocument/2006/relationships/hyperlink" Target="https://ebsi.co.kr/ebs/lms/player/retrieveLmsPlayerHtml5Simple.ebs?medUrl=https://WSTR.ebsi.co.kr/M41M2401/S20240000528/S20240000528_1M4_100030058240.mp4&amp;strStartTm=2632&amp;pType=2" TargetMode="External"/><Relationship Id="rId47" Type="http://schemas.openxmlformats.org/officeDocument/2006/relationships/hyperlink" Target="https://ebsi.co.kr/ebs/lms/player/retrieveLmsPlayerHtml5Simple.ebs?medUrl=https://WSTR.ebsi.co.kr/M41M2301/S20230000491/S20230000491_1M4_100030043586.mp4&amp;strStartTm=3597&amp;pType=2" TargetMode="External"/><Relationship Id="rId63" Type="http://schemas.openxmlformats.org/officeDocument/2006/relationships/hyperlink" Target="https://ebsi.co.kr/ebs/lms/player/retrieveLmsPlayerHtml5Simple.ebs?medUrl=https://WSTR.ebsi.co.kr/M41M2301/S20230000297/S20230000297_1M4_100030039326.mp4&amp;strStartTm=2822&amp;pType=2" TargetMode="External"/><Relationship Id="rId68" Type="http://schemas.openxmlformats.org/officeDocument/2006/relationships/hyperlink" Target="https://ebsi.co.kr/ebs/lms/player/retrieveLmsPlayerHtml5Simple.ebs?medUrl=https://WSTR.ebsi.co.kr/M41M2401/S20240000260/S20240000260_1M4_100030054382.mp4&amp;strStartTm=1406&amp;pType=2" TargetMode="External"/><Relationship Id="rId2" Type="http://schemas.openxmlformats.org/officeDocument/2006/relationships/hyperlink" Target="https://ebsi.co.kr/ebs/lms/player/retrieveLmsPlayerHtml5Simple.ebs?medUrl=https://WSTR.ebsi.co.kr/M41M2401/S20240000737/S20240000737_1M4_100030059808.mp4&amp;strStartTm=197&amp;pType=2" TargetMode="External"/><Relationship Id="rId16" Type="http://schemas.openxmlformats.org/officeDocument/2006/relationships/hyperlink" Target="https://ebsi.co.kr/ebs/lms/player/retrieveLmsPlayerHtml5Simple.ebs?medUrl=https://WSTR.ebsi.co.kr/M41M2401/S20240000737/S20240000737_1M4_100030059807.mp4&amp;strStartTm=2032&amp;pType=2" TargetMode="External"/><Relationship Id="rId29" Type="http://schemas.openxmlformats.org/officeDocument/2006/relationships/hyperlink" Target="https://ebsi.co.kr/ebs/lms/player/retrieveLmsPlayerHtml5Simple.ebs?medUrl=https://WSTR.ebsi.co.kr/M41M2401/S20240000528/S20240000528_1M4_100030058241.mp4&amp;strStartTm=582&amp;pType=2" TargetMode="External"/><Relationship Id="rId11" Type="http://schemas.openxmlformats.org/officeDocument/2006/relationships/hyperlink" Target="https://ebsi.co.kr/ebs/lms/player/retrieveLmsPlayerHtml5Simple.ebs?medUrl=https://WSTR.ebsi.co.kr/M41M2401/S20240000737/S20240000737_1M4_100030059808.mp4&amp;strStartTm=839&amp;pType=2" TargetMode="External"/><Relationship Id="rId24" Type="http://schemas.openxmlformats.org/officeDocument/2006/relationships/hyperlink" Target="https://ebsi.co.kr/ebs/lms/player/retrieveLmsPlayerHtml5Simple.ebs?medUrl=https://WSTR.ebsi.co.kr/M41M2401/S20240000528/S20240000528_1M4_100030058241.mp4&amp;strStartTm=187&amp;pType=2" TargetMode="External"/><Relationship Id="rId32" Type="http://schemas.openxmlformats.org/officeDocument/2006/relationships/hyperlink" Target="https://ebsi.co.kr/ebs/lms/player/retrieveLmsPlayerHtml5Simple.ebs?medUrl=https://WSTR.ebsi.co.kr/M41M2401/S20240000528/S20240000528_1M4_100030058240.mp4&amp;strStartTm=790&amp;pType=2" TargetMode="External"/><Relationship Id="rId37" Type="http://schemas.openxmlformats.org/officeDocument/2006/relationships/hyperlink" Target="https://ebsi.co.kr/ebs/lms/player/retrieveLmsPlayerHtml5Simple.ebs?medUrl=https://WSTR.ebsi.co.kr/M41M2401/S20240000528/S20240000528_1M4_100030058241.mp4&amp;strStartTm=1831&amp;pType=2" TargetMode="External"/><Relationship Id="rId40" Type="http://schemas.openxmlformats.org/officeDocument/2006/relationships/hyperlink" Target="https://ebsi.co.kr/ebs/lms/player/retrieveLmsPlayerHtml5Simple.ebs?medUrl=https://WSTR.ebsi.co.kr/M41M2401/S20240000528/S20240000528_1M4_100030058240.mp4&amp;strStartTm=2420&amp;pType=2" TargetMode="External"/><Relationship Id="rId45" Type="http://schemas.openxmlformats.org/officeDocument/2006/relationships/hyperlink" Target="https://wstr.ebsi.co.kr/M41M2401/S20240000260/S20240000260_1M4_100030054380.mp4" TargetMode="External"/><Relationship Id="rId53" Type="http://schemas.openxmlformats.org/officeDocument/2006/relationships/hyperlink" Target="https://ebsi.co.kr/ebs/lms/player/retrieveLmsPlayerHtml5Simple.ebs?medUrl=https://WSTR.ebsi.co.kr/M41M2101/S20210000761/S20210000761_1M4_100030001261.mp4&amp;strStartTm=1048&amp;pType=2" TargetMode="External"/><Relationship Id="rId58" Type="http://schemas.openxmlformats.org/officeDocument/2006/relationships/hyperlink" Target="https://ebsi.co.kr/ebs/lms/player/retrieveLmsPlayerHtml5Simple.ebs?medUrl=https://WSTR.ebsi.co.kr/M41M2201/S20220000415/S20220000415_1M4_100030027368.mp4&amp;strStartTm=2504&amp;pType=2" TargetMode="External"/><Relationship Id="rId66" Type="http://schemas.openxmlformats.org/officeDocument/2006/relationships/hyperlink" Target="https://ebsi.co.kr/ebs/lms/player/retrieveLmsPlayerHtml5Simple.ebs?medUrl=https://WSTR.ebsi.co.kr/M41M2301/S20230000491/S20230000491_1M4_100030043587.mp4&amp;strStartTm=2312&amp;pType=2" TargetMode="External"/><Relationship Id="rId74" Type="http://schemas.openxmlformats.org/officeDocument/2006/relationships/hyperlink" Target="https://ebsi.co.kr/ebs/lms/player/retrieveLmsPlayerHtml5Simple.ebs?medUrl=https://WSTR.ebsi.co.kr/M41M2401/S20240000737/S20240000737_1M4_100030059809.mp4&amp;strStartTm=2323&amp;pType=2" TargetMode="External"/><Relationship Id="rId5" Type="http://schemas.openxmlformats.org/officeDocument/2006/relationships/hyperlink" Target="https://ebsi.co.kr/ebs/lms/player/retrieveLmsPlayerHtml5Simple.ebs?medUrl=https://WSTR.ebsi.co.kr/M41M2401/S20240000737/S20240000737_1M4_100030059807.mp4&amp;strStartTm=286&amp;pType=2" TargetMode="External"/><Relationship Id="rId61" Type="http://schemas.openxmlformats.org/officeDocument/2006/relationships/hyperlink" Target="https://ebsi.co.kr/ebs/lms/player/retrieveLmsPlayerHtml5Simple.ebs?medUrl=https://WSTR.ebsi.co.kr/M41M2201/S20220000620/S20220000620_1M4_100030028822.mp4&amp;strStartTm=2647&amp;pType=2" TargetMode="External"/><Relationship Id="rId19" Type="http://schemas.openxmlformats.org/officeDocument/2006/relationships/hyperlink" Target="https://ebsi.co.kr/ebs/lms/player/retrieveLmsPlayerHtml5Simple.ebs?medUrl=https://WSTR.ebsi.co.kr/M41M2401/S20240000737/S20240000737_1M4_100030059808.mp4&amp;strStartTm=2959&amp;pType=2" TargetMode="External"/><Relationship Id="rId14" Type="http://schemas.openxmlformats.org/officeDocument/2006/relationships/hyperlink" Target="https://ebsi.co.kr/ebs/lms/player/retrieveLmsPlayerHtml5Simple.ebs?medUrl=https://WSTR.ebsi.co.kr/M41M2401/S20240000737/S20240000737_1M4_100030059807.mp4&amp;strStartTm=1356&amp;pType=2" TargetMode="External"/><Relationship Id="rId22" Type="http://schemas.openxmlformats.org/officeDocument/2006/relationships/hyperlink" Target="https://ebsi.co.kr/ebs/lms/player/retrieveLmsPlayerHtml5Simple.ebs?medUrl=https://WSTR.ebsi.co.kr/M41M2401/S20240000737/S20240000737_1M4_100030059807.mp4&amp;strStartTm=2646&amp;pType=2" TargetMode="External"/><Relationship Id="rId27" Type="http://schemas.openxmlformats.org/officeDocument/2006/relationships/hyperlink" Target="https://ebsi.co.kr/ebs/lms/player/retrieveLmsPlayerHtml5Simple.ebs?medUrl=https://WSTR.ebsi.co.kr/M41M2401/S20240000528/S20240000528_1M4_100030058241.mp4&amp;strStartTm=498&amp;pType=2" TargetMode="External"/><Relationship Id="rId30" Type="http://schemas.openxmlformats.org/officeDocument/2006/relationships/hyperlink" Target="https://ebsi.co.kr/ebs/lms/player/retrieveLmsPlayerHtml5Simple.ebs?medUrl=https://WSTR.ebsi.co.kr/M41M2401/S20240000528/S20240000528_1M4_100030058240.mp4&amp;strStartTm=593&amp;pType=2" TargetMode="External"/><Relationship Id="rId35" Type="http://schemas.openxmlformats.org/officeDocument/2006/relationships/hyperlink" Target="https://ebsi.co.kr/ebs/lms/player/retrieveLmsPlayerHtml5Simple.ebs?medUrl=https://WSTR.ebsi.co.kr/M41M2401/S20240000528/S20240000528_1M4_100030058241.mp4&amp;strStartTm=1400&amp;pType=2" TargetMode="External"/><Relationship Id="rId43" Type="http://schemas.openxmlformats.org/officeDocument/2006/relationships/hyperlink" Target="https://ebsi.co.kr/ebs/lms/player/retrieveLmsPlayerHtml5Simple.ebs?medUrl=https://WSTR.ebsi.co.kr/M41M2401/S20240000528/S20240000528_1M4_100030058241.mp4&amp;strStartTm=2800&amp;pType=2" TargetMode="External"/><Relationship Id="rId48" Type="http://schemas.openxmlformats.org/officeDocument/2006/relationships/hyperlink" Target="https://ebsi.co.kr/ebs/lms/player/retrieveLmsPlayerHtml5Simple.ebs?medUrl=https://WSTR.ebsi.co.kr/M41M2301/S20230000491/S20230000491_1M4_100030043585.mp4&amp;strStartTm=2614&amp;pType=2" TargetMode="External"/><Relationship Id="rId56" Type="http://schemas.openxmlformats.org/officeDocument/2006/relationships/hyperlink" Target="https://ebsi.co.kr/ebs/lms/player/retrieveLmsPlayerHtml5Simple.ebs?medUrl=https://WSTR.ebsi.co.kr/M41M2201/S20220000268/S20220000268_1M4_100030024244.mp4&amp;strStartTm=2445&amp;pType=2" TargetMode="External"/><Relationship Id="rId64" Type="http://schemas.openxmlformats.org/officeDocument/2006/relationships/hyperlink" Target="https://ebsi.co.kr/ebs/lms/player/retrieveLmsPlayerHtml5Simple.ebs?medUrl=https://WSTR.ebsi.co.kr/M41M2301/S20230000491/S20230000491_1M4_100030043587.mp4&amp;strStartTm=1051&amp;pType=2" TargetMode="External"/><Relationship Id="rId69" Type="http://schemas.openxmlformats.org/officeDocument/2006/relationships/hyperlink" Target="https://ebsi.co.kr/ebs/lms/player/retrieveLmsPlayerHtml5Simple.ebs?medUrl=https://WSTR.ebsi.co.kr/M41M2401/S20240000260/S20240000260_1M4_100030054382.mp4&amp;strStartTm=2310&amp;pType=2" TargetMode="External"/><Relationship Id="rId8" Type="http://schemas.openxmlformats.org/officeDocument/2006/relationships/hyperlink" Target="https://ebsi.co.kr/ebs/lms/player/retrieveLmsPlayerHtml5Simple.ebs?medUrl=https://WSTR.ebsi.co.kr/M41M2401/S20240000737/S20240000737_1M4_100030059807.mp4&amp;strStartTm=401&amp;pType=2" TargetMode="External"/><Relationship Id="rId51" Type="http://schemas.openxmlformats.org/officeDocument/2006/relationships/hyperlink" Target="https://ebsi.co.kr/ebs/lms/player/retrieveLmsPlayerHtml5Simple.ebs?medUrl=https://WSTR.ebsi.co.kr/M41M2101/S20210001189/S20210001189_1M4_100030011706.mp4&amp;strStartTm=2728&amp;pType=2" TargetMode="External"/><Relationship Id="rId72" Type="http://schemas.openxmlformats.org/officeDocument/2006/relationships/hyperlink" Target="https://ebsi.co.kr/ebs/lms/player/retrieveLmsPlayerHtml5Simple.ebs?medUrl=https://WSTR.ebsi.co.kr/M41M2401/S20240000528/S20240000528_1M4_100030058242.mp4&amp;strStartTm=1327&amp;pType=2" TargetMode="External"/><Relationship Id="rId3" Type="http://schemas.openxmlformats.org/officeDocument/2006/relationships/hyperlink" Target="https://ebsi.co.kr/ebs/lms/player/retrieveLmsPlayerHtml5Simple.ebs?medUrl=https://WSTR.ebsi.co.kr/M41M2401/S20240000737/S20240000737_1M4_100030059807.mp4&amp;strStartTm=160&amp;pType=2" TargetMode="External"/><Relationship Id="rId12" Type="http://schemas.openxmlformats.org/officeDocument/2006/relationships/hyperlink" Target="https://ebsi.co.kr/ebs/lms/player/retrieveLmsPlayerHtml5Simple.ebs?medUrl=https://WSTR.ebsi.co.kr/M41M2401/S20240000737/S20240000737_1M4_100030059807.mp4&amp;strStartTm=1005&amp;pType=2" TargetMode="External"/><Relationship Id="rId17" Type="http://schemas.openxmlformats.org/officeDocument/2006/relationships/hyperlink" Target="https://ebsi.co.kr/ebs/lms/player/retrieveLmsPlayerHtml5Simple.ebs?medUrl=https://WSTR.ebsi.co.kr/M41M2401/S20240000737/S20240000737_1M4_100030059808.mp4&amp;strStartTm=2898&amp;pType=2" TargetMode="External"/><Relationship Id="rId25" Type="http://schemas.openxmlformats.org/officeDocument/2006/relationships/hyperlink" Target="https://ebsi.co.kr/ebs/lms/player/retrieveLmsPlayerHtml5Simple.ebs?medUrl=https://WSTR.ebsi.co.kr/M41M2401/S20240000528/S20240000528_1M4_100030058240.mp4&amp;strStartTm=220&amp;pType=2" TargetMode="External"/><Relationship Id="rId33" Type="http://schemas.openxmlformats.org/officeDocument/2006/relationships/hyperlink" Target="https://ebsi.co.kr/ebs/lms/player/retrieveLmsPlayerHtml5Simple.ebs?medUrl=https://WSTR.ebsi.co.kr/M41M2401/S20240000528/S20240000528_1M4_100030058241.mp4&amp;strStartTm=970&amp;pType=2" TargetMode="External"/><Relationship Id="rId38" Type="http://schemas.openxmlformats.org/officeDocument/2006/relationships/hyperlink" Target="https://ebsi.co.kr/ebs/lms/player/retrieveLmsPlayerHtml5Simple.ebs?medUrl=https://WSTR.ebsi.co.kr/M41M2401/S20240000528/S20240000528_1M4_100030058240.mp4&amp;strStartTm=2299&amp;pType=2" TargetMode="External"/><Relationship Id="rId46" Type="http://schemas.openxmlformats.org/officeDocument/2006/relationships/hyperlink" Target="https://ebsi.co.kr/ebs/lms/player/retrieveLmsPlayerHtml5Simple.ebs?medUrl=https://WSTR.ebsi.co.kr/M41M2401/S20240000260/S20240000260_1M4_100030054380.mp4&amp;strStartTm=3050&amp;pType=2" TargetMode="External"/><Relationship Id="rId59" Type="http://schemas.openxmlformats.org/officeDocument/2006/relationships/hyperlink" Target="https://ebsi.co.kr/ebs/lms/player/retrieveLmsPlayerHtml5Simple.ebs?medUrl=https://WSTR.ebsi.co.kr/M41M2201/S20220000415/S20220000415_1M4_100030027368.mp4&amp;strStartTm=3049&amp;pType=2" TargetMode="External"/><Relationship Id="rId67" Type="http://schemas.openxmlformats.org/officeDocument/2006/relationships/hyperlink" Target="https://ebsi.co.kr/ebs/lms/player/retrieveLmsPlayerHtml5Simple.ebs?medUrl=https://WSTR.ebsi.co.kr/M41M2301/S20230000491/S20230000491_1M4_100030043587.mp4&amp;strStartTm=2704&amp;pType=2" TargetMode="External"/><Relationship Id="rId20" Type="http://schemas.openxmlformats.org/officeDocument/2006/relationships/hyperlink" Target="https://ebsi.co.kr/ebs/lms/player/retrieveLmsPlayerHtml5Simple.ebs?medUrl=https://WSTR.ebsi.co.kr/M41M2401/S20240000737/S20240000737_1M4_100030059807.mp4&amp;strStartTm=2250&amp;pType=2" TargetMode="External"/><Relationship Id="rId41" Type="http://schemas.openxmlformats.org/officeDocument/2006/relationships/hyperlink" Target="https://ebsi.co.kr/ebs/lms/player/retrieveLmsPlayerHtml5Simple.ebs?medUrl=https://WSTR.ebsi.co.kr/M41M2401/S20240000528/S20240000528_1M4_100030058241.mp4&amp;strStartTm=2564&amp;pType=2" TargetMode="External"/><Relationship Id="rId54" Type="http://schemas.openxmlformats.org/officeDocument/2006/relationships/hyperlink" Target="https://ebsi.co.kr/ebs/lms/player/retrieveLmsPlayerHtml5Simple.ebs?medUrl=https://WSTR.ebsi.co.kr/M41M2101/S20210001003/S20210001003_1M4_100030008433.mp4&amp;strStartTm=2781&amp;pType=2" TargetMode="External"/><Relationship Id="rId62" Type="http://schemas.openxmlformats.org/officeDocument/2006/relationships/hyperlink" Target="https://ebsi.co.kr/ebs/lms/player/retrieveLmsPlayerHtml5Simple.ebs?medUrl=https://WSTR.ebsi.co.kr/M41M2301/S20230000297/S20230000297_1M4_100030039326.mp4&amp;strStartTm=1536&amp;pType=2" TargetMode="External"/><Relationship Id="rId70" Type="http://schemas.openxmlformats.org/officeDocument/2006/relationships/hyperlink" Target="https://ebsi.co.kr/ebs/lms/player/retrieveLmsPlayerHtml5Simple.ebs?medUrl=https://WSTR.ebsi.co.kr/M41M2401/S20240000528/S20240000528_1M4_100030058242.mp4&amp;strStartTm=1050&amp;pType=2" TargetMode="External"/><Relationship Id="rId75" Type="http://schemas.openxmlformats.org/officeDocument/2006/relationships/printerSettings" Target="../printerSettings/printerSettings2.bin"/><Relationship Id="rId1" Type="http://schemas.openxmlformats.org/officeDocument/2006/relationships/hyperlink" Target="https://ebsi.co.kr/ebs/lms/player/retrieveLmsPlayerHtml5Simple.ebs?medUrl=https://WSTR.ebsi.co.kr/M41M2401/S20240000737/S20240000737_1M4_100030059807.mp4&amp;strStartTm=99&amp;pType=2" TargetMode="External"/><Relationship Id="rId6" Type="http://schemas.openxmlformats.org/officeDocument/2006/relationships/hyperlink" Target="https://ebsi.co.kr/ebs/lms/player/retrieveLmsPlayerHtml5Simple.ebs?medUrl=https://WSTR.ebsi.co.kr/M41M2401/S20240000737/S20240000737_1M4_100030059808.mp4&amp;strStartTm=346&amp;pType=2" TargetMode="External"/><Relationship Id="rId15" Type="http://schemas.openxmlformats.org/officeDocument/2006/relationships/hyperlink" Target="https://ebsi.co.kr/ebs/lms/player/retrieveLmsPlayerHtml5Simple.ebs?medUrl=https://WSTR.ebsi.co.kr/M41M2401/S20240000737/S20240000737_1M4_100030059808.mp4&amp;strStartTm=1672&amp;pType=2" TargetMode="External"/><Relationship Id="rId23" Type="http://schemas.openxmlformats.org/officeDocument/2006/relationships/hyperlink" Target="https://ebsi.co.kr/ebs/lms/player/retrieveLmsPlayerHtml5Simple.ebs?medUrl=https://WSTR.ebsi.co.kr/M41M2401/S20240000528/S20240000528_1M4_100030058240.mp4&amp;strStartTm=137&amp;pType=2" TargetMode="External"/><Relationship Id="rId28" Type="http://schemas.openxmlformats.org/officeDocument/2006/relationships/hyperlink" Target="https://ebsi.co.kr/ebs/lms/player/retrieveLmsPlayerHtml5Simple.ebs?medUrl=https://WSTR.ebsi.co.kr/M41M2401/S20240000528/S20240000528_1M4_100030058240.mp4&amp;strStartTm=407&amp;pType=2" TargetMode="External"/><Relationship Id="rId36" Type="http://schemas.openxmlformats.org/officeDocument/2006/relationships/hyperlink" Target="https://ebsi.co.kr/ebs/lms/player/retrieveLmsPlayerHtml5Simple.ebs?medUrl=https://WSTR.ebsi.co.kr/M41M2401/S20240000528/S20240000528_1M4_100030058240.mp4&amp;strStartTm=1703&amp;pType=2" TargetMode="External"/><Relationship Id="rId49" Type="http://schemas.openxmlformats.org/officeDocument/2006/relationships/hyperlink" Target="https://ebsi.co.kr/ebs/lms/player/retrieveLmsPlayerHtml5Simple.ebs?medUrl=https://WSTR.ebsi.co.kr/M41M2201/S20220000620/S20220000620_1M4_100030028821.mp4&amp;strStartTm=2176&amp;pType=2" TargetMode="External"/><Relationship Id="rId57" Type="http://schemas.openxmlformats.org/officeDocument/2006/relationships/hyperlink" Target="https://ebsi.co.kr/ebs/lms/player/retrieveLmsPlayerHtml5Simple.ebs?medUrl=https://WSTR.ebsi.co.kr/M41M2201/S20220000415/S20220000415_1M4_100030027368.mp4&amp;strStartTm=1998&amp;pType=2" TargetMode="External"/><Relationship Id="rId10" Type="http://schemas.openxmlformats.org/officeDocument/2006/relationships/hyperlink" Target="https://ebsi.co.kr/ebs/lms/player/retrieveLmsPlayerHtml5Simple.ebs?medUrl=https://WSTR.ebsi.co.kr/M41M2401/S20240000737/S20240000737_1M4_100030059807.mp4&amp;strStartTm=636&amp;pType=2" TargetMode="External"/><Relationship Id="rId31" Type="http://schemas.openxmlformats.org/officeDocument/2006/relationships/hyperlink" Target="https://ebsi.co.kr/ebs/lms/player/retrieveLmsPlayerHtml5Simple.ebs?medUrl=https://WSTR.ebsi.co.kr/M41M2401/S20240000528/S20240000528_1M4_100030058241.mp4&amp;strStartTm=801&amp;pType=2" TargetMode="External"/><Relationship Id="rId44" Type="http://schemas.openxmlformats.org/officeDocument/2006/relationships/hyperlink" Target="https://ebsi.co.kr/ebs/lms/player/retrieveLmsPlayerHtml5Simple.ebs?medUrl=https://WSTR.ebsi.co.kr/M41M2401/S20240000528/S20240000528_1M4_100030058240.mp4&amp;strStartTm=2921&amp;pType=2" TargetMode="External"/><Relationship Id="rId52" Type="http://schemas.openxmlformats.org/officeDocument/2006/relationships/hyperlink" Target="https://ebsi.co.kr/ebs/lms/player/retrieveLmsPlayerHtml5Simple.ebs?medUrl=https://WSTR.ebsi.co.kr/M41M2101/S20210001003/S20210001003_1M4_100030008433.mp4&amp;strStartTm=1831&amp;pType=2" TargetMode="External"/><Relationship Id="rId60" Type="http://schemas.openxmlformats.org/officeDocument/2006/relationships/hyperlink" Target="https://ebsi.co.kr/ebs/lms/player/retrieveLmsPlayerHtml5Simple.ebs?medUrl=https://WSTR.ebsi.co.kr/M41M2201/S20220000620/S20220000620_1M4_100030028822.mp4&amp;strStartTm=1957&amp;pType=2" TargetMode="External"/><Relationship Id="rId65" Type="http://schemas.openxmlformats.org/officeDocument/2006/relationships/hyperlink" Target="https://ebsi.co.kr/ebs/lms/player/retrieveLmsPlayerHtml5Simple.ebs?medUrl=https://WSTR.ebsi.co.kr/M41M2301/S20230000491/S20230000491_1M4_100030043587.mp4&amp;strStartTm=1523&amp;pType=2" TargetMode="External"/><Relationship Id="rId73" Type="http://schemas.openxmlformats.org/officeDocument/2006/relationships/hyperlink" Target="https://ebsi.co.kr/ebs/lms/player/retrieveLmsPlayerHtml5Simple.ebs?medUrl=https://WSTR.ebsi.co.kr/M41M2401/S20240000528/S20240000528_1M4_100030058242.mp4&amp;strStartTm=2280&amp;pType=2" TargetMode="External"/><Relationship Id="rId4" Type="http://schemas.openxmlformats.org/officeDocument/2006/relationships/hyperlink" Target="https://ebsi.co.kr/ebs/lms/player/retrieveLmsPlayerHtml5Simple.ebs?medUrl=https://WSTR.ebsi.co.kr/M41M2401/S20240000737/S20240000737_1M4_100030059808.mp4&amp;strStartTm=245&amp;pType=2" TargetMode="External"/><Relationship Id="rId9" Type="http://schemas.openxmlformats.org/officeDocument/2006/relationships/hyperlink" Target="https://ebsi.co.kr/ebs/lms/player/retrieveLmsPlayerHtml5Simple.ebs?medUrl=https://WSTR.ebsi.co.kr/M41M2401/S20240000737/S20240000737_1M4_100030059808.mp4&amp;strStartTm=569&amp;pType=2" TargetMode="External"/><Relationship Id="rId13" Type="http://schemas.openxmlformats.org/officeDocument/2006/relationships/hyperlink" Target="https://ebsi.co.kr/ebs/lms/player/retrieveLmsPlayerHtml5Simple.ebs?medUrl=https://WSTR.ebsi.co.kr/M41M2401/S20240000737/S20240000737_1M4_100030059808.mp4&amp;strStartTm=1057&amp;pType=2" TargetMode="External"/><Relationship Id="rId18" Type="http://schemas.openxmlformats.org/officeDocument/2006/relationships/hyperlink" Target="https://ebsi.co.kr/ebs/lms/player/retrieveLmsPlayerHtml5Simple.ebs?medUrl=https://WSTR.ebsi.co.kr/M41M2401/S20240000737/S20240000737_1M4_100030059807.mp4&amp;strStartTm=2142&amp;pType=2" TargetMode="External"/><Relationship Id="rId39" Type="http://schemas.openxmlformats.org/officeDocument/2006/relationships/hyperlink" Target="https://ebsi.co.kr/ebs/lms/player/retrieveLmsPlayerHtml5Simple.ebs?medUrl=https://WSTR.ebsi.co.kr/M41M2401/S20240000528/S20240000528_1M4_100030058241.mp4&amp;strStartTm=2517&amp;pType=2" TargetMode="External"/><Relationship Id="rId34" Type="http://schemas.openxmlformats.org/officeDocument/2006/relationships/hyperlink" Target="https://ebsi.co.kr/ebs/lms/player/retrieveLmsPlayerHtml5Simple.ebs?medUrl=https://WSTR.ebsi.co.kr/M41M2401/S20240000528/S20240000528_1M4_100030058240.mp4&amp;strStartTm=1229&amp;pType=2" TargetMode="External"/><Relationship Id="rId50" Type="http://schemas.openxmlformats.org/officeDocument/2006/relationships/hyperlink" Target="https://ebsi.co.kr/ebs/lms/player/retrieveLmsPlayerHtml5Simple.ebs?medUrl=https://WSTR.ebsi.co.kr/M41M2201/S20220000268/S20220000268_1M4_100030024243.mp4&amp;strStartTm=3213&amp;pType=2" TargetMode="External"/><Relationship Id="rId55" Type="http://schemas.openxmlformats.org/officeDocument/2006/relationships/hyperlink" Target="https://ebsi.co.kr/ebs/lms/player/retrieveLmsPlayerHtml5Simple.ebs?medUrl=https://WSTR.ebsi.co.kr/M41M2201/S20220000268/S20220000268_1M4_100030024244.mp4&amp;strStartTm=2030&amp;pType=2" TargetMode="External"/><Relationship Id="rId76" Type="http://schemas.openxmlformats.org/officeDocument/2006/relationships/drawing" Target="../drawings/drawing2.xml"/><Relationship Id="rId7" Type="http://schemas.openxmlformats.org/officeDocument/2006/relationships/hyperlink" Target="https://ebsi.co.kr/ebs/lms/player/retrieveLmsPlayerHtml5Simple.ebs?medUrl=https://WSTR.ebsi.co.kr/M41M2401/S20240000737/S20240000737_1M4_100030059808.mp4&amp;strStartTm=410&amp;pType=2" TargetMode="External"/><Relationship Id="rId71" Type="http://schemas.openxmlformats.org/officeDocument/2006/relationships/hyperlink" Target="https://ebsi.co.kr/ebs/lms/player/retrieveLmsPlayerHtml5Simple.ebs?medUrl=https://WSTR.ebsi.co.kr/M41M2401/S20240000528/S20240000528_1M4_100030058242.mp4&amp;strStartTm=1876&amp;pType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str.ebsi.co.kr/M41M2501/S20250000256/S20250000256_1M4_100030069839.mp4" TargetMode="External"/><Relationship Id="rId2" Type="http://schemas.openxmlformats.org/officeDocument/2006/relationships/hyperlink" Target="https://wstr.ebsi.co.kr/M41M2101/S20210000761/S20210000761_1M4_100030001259.mp4" TargetMode="External"/><Relationship Id="rId1" Type="http://schemas.openxmlformats.org/officeDocument/2006/relationships/hyperlink" Target="https://wstr.ebsi.co.kr/M41M2101/S20210000761/S20210000761_1M4_100030001261.mp4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38D2-776B-4CD8-85CF-DCC0C5817E02}">
  <sheetPr codeName="Sheet1"/>
  <dimension ref="A1:J523"/>
  <sheetViews>
    <sheetView tabSelected="1" zoomScaleNormal="100" workbookViewId="0">
      <pane ySplit="1" topLeftCell="A343" activePane="bottomLeft" state="frozen"/>
      <selection pane="bottomLeft" activeCell="F365" sqref="F365"/>
    </sheetView>
  </sheetViews>
  <sheetFormatPr defaultColWidth="9" defaultRowHeight="16.5" x14ac:dyDescent="0.3"/>
  <cols>
    <col min="1" max="1" width="6.25" style="2" bestFit="1" customWidth="1"/>
    <col min="2" max="2" width="20" style="2" bestFit="1" customWidth="1"/>
    <col min="3" max="3" width="13" style="2" customWidth="1"/>
    <col min="4" max="4" width="22" style="2" bestFit="1" customWidth="1"/>
    <col min="5" max="5" width="12.875" style="2" bestFit="1" customWidth="1"/>
    <col min="6" max="6" width="20.875" style="2" customWidth="1"/>
    <col min="7" max="7" width="5.25" style="2" bestFit="1" customWidth="1"/>
    <col min="8" max="9" width="6.5" style="2" customWidth="1"/>
    <col min="10" max="10" width="62.5" style="3" customWidth="1"/>
    <col min="11" max="16384" width="9" style="1"/>
  </cols>
  <sheetData>
    <row r="1" spans="1:10" x14ac:dyDescent="0.3">
      <c r="A1" s="4" t="s">
        <v>7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8</v>
      </c>
      <c r="I1" s="4" t="s">
        <v>9</v>
      </c>
      <c r="J1" s="4" t="s">
        <v>6</v>
      </c>
    </row>
    <row r="2" spans="1:10" x14ac:dyDescent="0.3">
      <c r="A2" s="2" t="str">
        <f>작업!E2</f>
        <v>수학Ⅰ</v>
      </c>
      <c r="B2" s="2" t="str">
        <f>작업!F2</f>
        <v>1. 지수함수와 로그함수</v>
      </c>
      <c r="C2" s="2" t="str">
        <f>작업!G2</f>
        <v>A. 지수와 로그</v>
      </c>
      <c r="D2" s="2" t="str">
        <f>작업!H2</f>
        <v>지수의 연산</v>
      </c>
      <c r="E2" s="2" t="str">
        <f>작업!C2&amp;"("&amp;VLOOKUP(작업!D2,작업!$N$2:$O$6,2,0)&amp;")"</f>
        <v>20220601(♥)</v>
      </c>
      <c r="F2" s="2" t="str">
        <f>작업!I2</f>
        <v>mun/20220601.png</v>
      </c>
      <c r="G2" s="2">
        <f>작업!J2</f>
        <v>4</v>
      </c>
      <c r="H2" s="2">
        <f>작업!D2</f>
        <v>1</v>
      </c>
      <c r="I2" s="2">
        <f>작업!K2</f>
        <v>1</v>
      </c>
      <c r="J2" s="2" t="str">
        <f>작업!L2</f>
        <v>https://ebsi.co.kr/ebs/lms/player/retrieveLmsPlayerHtml5Simple.ebs?medUrl=https://WSTR.ebsi.co.kr/M41M2101/S20210000761/S20210000761_1M4_100030001258.mp4&amp;strStartTm=125&amp;pType=2</v>
      </c>
    </row>
    <row r="3" spans="1:10" x14ac:dyDescent="0.3">
      <c r="A3" s="2" t="str">
        <f>작업!E3</f>
        <v>수학Ⅱ</v>
      </c>
      <c r="B3" s="2" t="str">
        <f>작업!F3</f>
        <v>3. 적분</v>
      </c>
      <c r="C3" s="2" t="str">
        <f>작업!G3</f>
        <v>K. 부정적분</v>
      </c>
      <c r="D3" s="2" t="str">
        <f>작업!H3</f>
        <v>부정적분</v>
      </c>
      <c r="E3" s="2" t="str">
        <f>작업!C3&amp;"("&amp;VLOOKUP(작업!D3,작업!$N$2:$O$6,2,0)&amp;")"</f>
        <v>20220602(♥)</v>
      </c>
      <c r="F3" s="2" t="str">
        <f>작업!I3</f>
        <v>mun/20220602.png</v>
      </c>
      <c r="G3" s="2">
        <f>작업!J3</f>
        <v>5</v>
      </c>
      <c r="H3" s="2">
        <f>작업!D3</f>
        <v>1</v>
      </c>
      <c r="I3" s="2">
        <f>작업!K3</f>
        <v>1</v>
      </c>
      <c r="J3" s="2" t="str">
        <f>작업!L3</f>
        <v>https://ebsi.co.kr/ebs/lms/player/retrieveLmsPlayerHtml5Simple.ebs?medUrl=https://WSTR.ebsi.co.kr/M41M2101/S20210000761/S20210000761_1M4_100030001259.mp4&amp;strStartTm=215&amp;pType=2</v>
      </c>
    </row>
    <row r="4" spans="1:10" x14ac:dyDescent="0.3">
      <c r="A4" s="2" t="str">
        <f>작업!E4</f>
        <v>수학Ⅰ</v>
      </c>
      <c r="B4" s="2" t="str">
        <f>작업!F4</f>
        <v>2. 삼각함수</v>
      </c>
      <c r="C4" s="2" t="str">
        <f>작업!G4</f>
        <v>C. 삼각함수</v>
      </c>
      <c r="D4" s="2" t="str">
        <f>작업!H4</f>
        <v>삼각함수의 값</v>
      </c>
      <c r="E4" s="2" t="str">
        <f>작업!C4&amp;"("&amp;VLOOKUP(작업!D4,작업!$N$2:$O$6,2,0)&amp;")"</f>
        <v>20220603(♥)</v>
      </c>
      <c r="F4" s="2" t="str">
        <f>작업!I4</f>
        <v>mun/20220603.png</v>
      </c>
      <c r="G4" s="2">
        <f>작업!J4</f>
        <v>1</v>
      </c>
      <c r="H4" s="2">
        <f>작업!D4</f>
        <v>1</v>
      </c>
      <c r="I4" s="2">
        <f>작업!K4</f>
        <v>1</v>
      </c>
      <c r="J4" s="2" t="str">
        <f>작업!L4</f>
        <v>https://ebsi.co.kr/ebs/lms/player/retrieveLmsPlayerHtml5Simple.ebs?medUrl=https://WSTR.ebsi.co.kr/M41M2101/S20210000761/S20210000761_1M4_100030001258.mp4&amp;strStartTm=243&amp;pType=2</v>
      </c>
    </row>
    <row r="5" spans="1:10" x14ac:dyDescent="0.3">
      <c r="A5" s="2" t="str">
        <f>작업!E5</f>
        <v>수학Ⅱ</v>
      </c>
      <c r="B5" s="2" t="str">
        <f>작업!F5</f>
        <v>1. 함수의 극한과 연속</v>
      </c>
      <c r="C5" s="2" t="str">
        <f>작업!G5</f>
        <v>G. 함수의 극한</v>
      </c>
      <c r="D5" s="2" t="str">
        <f>작업!H5</f>
        <v>함수의 극한</v>
      </c>
      <c r="E5" s="2" t="str">
        <f>작업!C5&amp;"("&amp;VLOOKUP(작업!D5,작업!$N$2:$O$6,2,0)&amp;")"</f>
        <v>20220604(♥♥)</v>
      </c>
      <c r="F5" s="2" t="str">
        <f>작업!I5</f>
        <v>mun/20220604.png</v>
      </c>
      <c r="G5" s="2">
        <f>작업!J5</f>
        <v>1</v>
      </c>
      <c r="H5" s="2">
        <f>작업!D5</f>
        <v>2</v>
      </c>
      <c r="I5" s="2">
        <f>작업!K5</f>
        <v>1</v>
      </c>
      <c r="J5" s="2" t="str">
        <f>작업!L5</f>
        <v>https://ebsi.co.kr/ebs/lms/player/retrieveLmsPlayerHtml5Simple.ebs?medUrl=https://WSTR.ebsi.co.kr/M41M2101/S20210000761/S20210000761_1M4_100030001259.mp4&amp;strStartTm=304&amp;pType=2</v>
      </c>
    </row>
    <row r="6" spans="1:10" x14ac:dyDescent="0.3">
      <c r="A6" s="2" t="str">
        <f>작업!E6</f>
        <v>수학Ⅱ</v>
      </c>
      <c r="B6" s="2" t="str">
        <f>작업!F6</f>
        <v>2. 미분</v>
      </c>
      <c r="C6" s="2" t="str">
        <f>작업!G6</f>
        <v>I. 도함수</v>
      </c>
      <c r="D6" s="2" t="str">
        <f>작업!H6</f>
        <v>곱함수의 미분법</v>
      </c>
      <c r="E6" s="2" t="str">
        <f>작업!C6&amp;"("&amp;VLOOKUP(작업!D6,작업!$N$2:$O$6,2,0)&amp;")"</f>
        <v>20220605(♥♥)</v>
      </c>
      <c r="F6" s="2" t="str">
        <f>작업!I6</f>
        <v>mun/20220605.png</v>
      </c>
      <c r="G6" s="2">
        <f>작업!J6</f>
        <v>3</v>
      </c>
      <c r="H6" s="2">
        <f>작업!D6</f>
        <v>2</v>
      </c>
      <c r="I6" s="2">
        <f>작업!K6</f>
        <v>1</v>
      </c>
      <c r="J6" s="2" t="str">
        <f>작업!L6</f>
        <v>https://ebsi.co.kr/ebs/lms/player/retrieveLmsPlayerHtml5Simple.ebs?medUrl=https://WSTR.ebsi.co.kr/M41M2101/S20210000761/S20210000761_1M4_100030001259.mp4&amp;strStartTm=397&amp;pType=2</v>
      </c>
    </row>
    <row r="7" spans="1:10" x14ac:dyDescent="0.3">
      <c r="A7" s="2" t="str">
        <f>작업!E7</f>
        <v>수학Ⅱ</v>
      </c>
      <c r="B7" s="2" t="str">
        <f>작업!F7</f>
        <v>3. 적분</v>
      </c>
      <c r="C7" s="2" t="str">
        <f>작업!G7</f>
        <v>L. 정적분</v>
      </c>
      <c r="D7" s="2" t="str">
        <f>작업!H7</f>
        <v>곡선 사이의 넓이</v>
      </c>
      <c r="E7" s="2" t="str">
        <f>작업!C7&amp;"("&amp;VLOOKUP(작업!D7,작업!$N$2:$O$6,2,0)&amp;")"</f>
        <v>20220606(♥♥)</v>
      </c>
      <c r="F7" s="2" t="str">
        <f>작업!I7</f>
        <v>mun/20220606.png</v>
      </c>
      <c r="G7" s="2">
        <f>작업!J7</f>
        <v>4</v>
      </c>
      <c r="H7" s="2">
        <f>작업!D7</f>
        <v>2</v>
      </c>
      <c r="I7" s="2">
        <f>작업!K7</f>
        <v>1</v>
      </c>
      <c r="J7" s="2" t="str">
        <f>작업!L7</f>
        <v>https://ebsi.co.kr/ebs/lms/player/retrieveLmsPlayerHtml5Simple.ebs?medUrl=https://WSTR.ebsi.co.kr/M41M2101/S20210000761/S20210000761_1M4_100030001259.mp4&amp;strStartTm=510&amp;pType=2</v>
      </c>
    </row>
    <row r="8" spans="1:10" x14ac:dyDescent="0.3">
      <c r="A8" s="2" t="str">
        <f>작업!E8</f>
        <v>수학Ⅰ</v>
      </c>
      <c r="B8" s="2" t="str">
        <f>작업!F8</f>
        <v>3. 수열</v>
      </c>
      <c r="C8" s="2" t="str">
        <f>작업!G8</f>
        <v>D. 등차수열과 등비수열</v>
      </c>
      <c r="D8" s="2" t="str">
        <f>작업!H8</f>
        <v>등차수열</v>
      </c>
      <c r="E8" s="2" t="str">
        <f>작업!C8&amp;"("&amp;VLOOKUP(작업!D8,작업!$N$2:$O$6,2,0)&amp;")"</f>
        <v>20220607(♥♥)</v>
      </c>
      <c r="F8" s="2" t="str">
        <f>작업!I8</f>
        <v>mun/20220607.png</v>
      </c>
      <c r="G8" s="2">
        <f>작업!J8</f>
        <v>2</v>
      </c>
      <c r="H8" s="2">
        <f>작업!D8</f>
        <v>2</v>
      </c>
      <c r="I8" s="2">
        <f>작업!K8</f>
        <v>1</v>
      </c>
      <c r="J8" s="2" t="str">
        <f>작업!L8</f>
        <v>https://ebsi.co.kr/ebs/lms/player/retrieveLmsPlayerHtml5Simple.ebs?medUrl=https://WSTR.ebsi.co.kr/M41M2101/S20210000761/S20210000761_1M4_100030001258.mp4&amp;strStartTm=477&amp;pType=2</v>
      </c>
    </row>
    <row r="9" spans="1:10" x14ac:dyDescent="0.3">
      <c r="A9" s="2" t="str">
        <f>작업!E9</f>
        <v>수학Ⅱ</v>
      </c>
      <c r="B9" s="2" t="str">
        <f>작업!F9</f>
        <v>1. 함수의 극한과 연속</v>
      </c>
      <c r="C9" s="2" t="str">
        <f>작업!G9</f>
        <v>H. 함수의 연속</v>
      </c>
      <c r="D9" s="2" t="str">
        <f>작업!H9</f>
        <v>함수의 연속</v>
      </c>
      <c r="E9" s="2" t="str">
        <f>작업!C9&amp;"("&amp;VLOOKUP(작업!D9,작업!$N$2:$O$6,2,0)&amp;")"</f>
        <v>20220608(♥♥)</v>
      </c>
      <c r="F9" s="2" t="str">
        <f>작업!I9</f>
        <v>mun/20220608.png</v>
      </c>
      <c r="G9" s="2">
        <f>작업!J9</f>
        <v>4</v>
      </c>
      <c r="H9" s="2">
        <f>작업!D9</f>
        <v>2</v>
      </c>
      <c r="I9" s="2">
        <f>작업!K9</f>
        <v>1</v>
      </c>
      <c r="J9" s="2" t="str">
        <f>작업!L9</f>
        <v>https://ebsi.co.kr/ebs/lms/player/retrieveLmsPlayerHtml5Simple.ebs?medUrl=https://WSTR.ebsi.co.kr/M41M2101/S20210000761/S20210000761_1M4_100030001259.mp4&amp;strStartTm=726&amp;pType=2</v>
      </c>
    </row>
    <row r="10" spans="1:10" x14ac:dyDescent="0.3">
      <c r="A10" s="2" t="str">
        <f>작업!E10</f>
        <v>수학Ⅰ</v>
      </c>
      <c r="B10" s="2" t="str">
        <f>작업!F10</f>
        <v>3. 수열</v>
      </c>
      <c r="C10" s="2" t="str">
        <f>작업!G10</f>
        <v>F. 수학적 귀납법</v>
      </c>
      <c r="D10" s="2" t="str">
        <f>작업!H10</f>
        <v>수열의 귀납적 정의</v>
      </c>
      <c r="E10" s="2" t="str">
        <f>작업!C10&amp;"("&amp;VLOOKUP(작업!D10,작업!$N$2:$O$6,2,0)&amp;")"</f>
        <v>20220609(♥♥♥)</v>
      </c>
      <c r="F10" s="2" t="str">
        <f>작업!I10</f>
        <v>mun/20220609.png</v>
      </c>
      <c r="G10" s="2">
        <f>작업!J10</f>
        <v>5</v>
      </c>
      <c r="H10" s="2">
        <f>작업!D10</f>
        <v>3</v>
      </c>
      <c r="I10" s="2">
        <f>작업!K10</f>
        <v>1</v>
      </c>
      <c r="J10" s="2" t="str">
        <f>작업!L10</f>
        <v>https://ebsi.co.kr/ebs/lms/player/retrieveLmsPlayerHtml5Simple.ebs?medUrl=https://WSTR.ebsi.co.kr/M41M2101/S20210000761/S20210000761_1M4_100030001258.mp4&amp;strStartTm=766&amp;pType=2</v>
      </c>
    </row>
    <row r="11" spans="1:10" x14ac:dyDescent="0.3">
      <c r="A11" s="2" t="str">
        <f>작업!E11</f>
        <v>수학Ⅰ</v>
      </c>
      <c r="B11" s="2" t="str">
        <f>작업!F11</f>
        <v>1. 지수함수와 로그함수</v>
      </c>
      <c r="C11" s="2" t="str">
        <f>작업!G11</f>
        <v>B. 지수함수와 로그함수</v>
      </c>
      <c r="D11" s="2" t="str">
        <f>작업!H11</f>
        <v>방정식과 부등식에의 활용</v>
      </c>
      <c r="E11" s="2" t="str">
        <f>작업!C11&amp;"("&amp;VLOOKUP(작업!D11,작업!$N$2:$O$6,2,0)&amp;")"</f>
        <v>20220610(♥♥♥)</v>
      </c>
      <c r="F11" s="2" t="str">
        <f>작업!I11</f>
        <v>mun/20220610.png</v>
      </c>
      <c r="G11" s="2">
        <f>작업!J11</f>
        <v>2</v>
      </c>
      <c r="H11" s="2">
        <f>작업!D11</f>
        <v>3</v>
      </c>
      <c r="I11" s="2">
        <f>작업!K11</f>
        <v>1</v>
      </c>
      <c r="J11" s="2" t="str">
        <f>작업!L11</f>
        <v>https://ebsi.co.kr/ebs/lms/player/retrieveLmsPlayerHtml5Simple.ebs?medUrl=https://WSTR.ebsi.co.kr/M41M2101/S20210000761/S20210000761_1M4_100030001258.mp4&amp;strStartTm=995&amp;pType=2</v>
      </c>
    </row>
    <row r="12" spans="1:10" x14ac:dyDescent="0.3">
      <c r="A12" s="2" t="str">
        <f>작업!E12</f>
        <v>수학Ⅱ</v>
      </c>
      <c r="B12" s="2" t="str">
        <f>작업!F12</f>
        <v>3. 적분</v>
      </c>
      <c r="C12" s="2" t="str">
        <f>작업!G12</f>
        <v>L. 정적분</v>
      </c>
      <c r="D12" s="2" t="str">
        <f>작업!H12</f>
        <v>곡선 사이의 넓이</v>
      </c>
      <c r="E12" s="2" t="str">
        <f>작업!C12&amp;"("&amp;VLOOKUP(작업!D12,작업!$N$2:$O$6,2,0)&amp;")"</f>
        <v>20220611(♥♥♥)</v>
      </c>
      <c r="F12" s="2" t="str">
        <f>작업!I12</f>
        <v>mun/20220611.png</v>
      </c>
      <c r="G12" s="2">
        <f>작업!J12</f>
        <v>2</v>
      </c>
      <c r="H12" s="2">
        <f>작업!D12</f>
        <v>3</v>
      </c>
      <c r="I12" s="2">
        <f>작업!K12</f>
        <v>1</v>
      </c>
      <c r="J12" s="2" t="str">
        <f>작업!L12</f>
        <v>https://ebsi.co.kr/ebs/lms/player/retrieveLmsPlayerHtml5Simple.ebs?medUrl=https://WSTR.ebsi.co.kr/M41M2101/S20210000761/S20210000761_1M4_100030001259.mp4&amp;strStartTm=970&amp;pType=2</v>
      </c>
    </row>
    <row r="13" spans="1:10" x14ac:dyDescent="0.3">
      <c r="A13" s="2" t="str">
        <f>작업!E13</f>
        <v>수학Ⅰ</v>
      </c>
      <c r="B13" s="2" t="str">
        <f>작업!F13</f>
        <v>2. 삼각함수</v>
      </c>
      <c r="C13" s="2" t="str">
        <f>작업!G13</f>
        <v>C. 삼각함수</v>
      </c>
      <c r="D13" s="2" t="str">
        <f>작업!H13</f>
        <v>사인법칙과 코사인법칙</v>
      </c>
      <c r="E13" s="2" t="str">
        <f>작업!C13&amp;"("&amp;VLOOKUP(작업!D13,작업!$N$2:$O$6,2,0)&amp;")"</f>
        <v>20220612(♥♥♥♥)</v>
      </c>
      <c r="F13" s="2" t="str">
        <f>작업!I13</f>
        <v>mun/20220612.png</v>
      </c>
      <c r="G13" s="2">
        <f>작업!J13</f>
        <v>3</v>
      </c>
      <c r="H13" s="2">
        <f>작업!D13</f>
        <v>4</v>
      </c>
      <c r="I13" s="2">
        <f>작업!K13</f>
        <v>1</v>
      </c>
      <c r="J13" s="2" t="str">
        <f>작업!L13</f>
        <v>https://ebsi.co.kr/ebs/lms/player/retrieveLmsPlayerHtml5Simple.ebs?medUrl=https://WSTR.ebsi.co.kr/M41M2101/S20210000761/S20210000761_1M4_100030001258.mp4&amp;strStartTm=1344&amp;pType=2</v>
      </c>
    </row>
    <row r="14" spans="1:10" x14ac:dyDescent="0.3">
      <c r="A14" s="2" t="str">
        <f>작업!E14</f>
        <v>수학Ⅰ</v>
      </c>
      <c r="B14" s="2" t="str">
        <f>작업!F14</f>
        <v>3. 수열</v>
      </c>
      <c r="C14" s="2" t="str">
        <f>작업!G14</f>
        <v>E. 수열의 합</v>
      </c>
      <c r="D14" s="2" t="str">
        <f>작업!H14</f>
        <v>여러 가지 수열의 합</v>
      </c>
      <c r="E14" s="2" t="str">
        <f>작업!C14&amp;"("&amp;VLOOKUP(작업!D14,작업!$N$2:$O$6,2,0)&amp;")"</f>
        <v>20220613(♥♥♥♥)</v>
      </c>
      <c r="F14" s="2" t="str">
        <f>작업!I14</f>
        <v>mun/20220613.png</v>
      </c>
      <c r="G14" s="2">
        <f>작업!J14</f>
        <v>5</v>
      </c>
      <c r="H14" s="2">
        <f>작업!D14</f>
        <v>4</v>
      </c>
      <c r="I14" s="2">
        <f>작업!K14</f>
        <v>1</v>
      </c>
      <c r="J14" s="2" t="str">
        <f>작업!L14</f>
        <v>https://ebsi.co.kr/ebs/lms/player/retrieveLmsPlayerHtml5Simple.ebs?medUrl=https://WSTR.ebsi.co.kr/M41M2101/S20210000761/S20210000761_1M4_100030001258.mp4&amp;strStartTm=1852&amp;pType=2</v>
      </c>
    </row>
    <row r="15" spans="1:10" x14ac:dyDescent="0.3">
      <c r="A15" s="2" t="str">
        <f>작업!E15</f>
        <v>수학Ⅱ</v>
      </c>
      <c r="B15" s="2" t="str">
        <f>작업!F15</f>
        <v>2. 미분</v>
      </c>
      <c r="C15" s="2" t="str">
        <f>작업!G15</f>
        <v>I. 도함수</v>
      </c>
      <c r="D15" s="2" t="str">
        <f>작업!H15</f>
        <v>미분가능성</v>
      </c>
      <c r="E15" s="2" t="str">
        <f>작업!C15&amp;"("&amp;VLOOKUP(작업!D15,작업!$N$2:$O$6,2,0)&amp;")"</f>
        <v>20220614(♥♥♥♥)</v>
      </c>
      <c r="F15" s="2" t="str">
        <f>작업!I15</f>
        <v>mun/20220614.png</v>
      </c>
      <c r="G15" s="2">
        <f>작업!J15</f>
        <v>3</v>
      </c>
      <c r="H15" s="2">
        <f>작업!D15</f>
        <v>4</v>
      </c>
      <c r="I15" s="2">
        <f>작업!K15</f>
        <v>1</v>
      </c>
      <c r="J15" s="2" t="str">
        <f>작업!L15</f>
        <v>https://ebsi.co.kr/ebs/lms/player/retrieveLmsPlayerHtml5Simple.ebs?medUrl=https://WSTR.ebsi.co.kr/M41M2101/S20210000761/S20210000761_1M4_100030001259.mp4&amp;strStartTm=1396&amp;pType=2</v>
      </c>
    </row>
    <row r="16" spans="1:10" x14ac:dyDescent="0.3">
      <c r="A16" s="2" t="str">
        <f>작업!E16</f>
        <v>수학Ⅰ</v>
      </c>
      <c r="B16" s="2" t="str">
        <f>작업!F16</f>
        <v>2. 삼각함수</v>
      </c>
      <c r="C16" s="2" t="str">
        <f>작업!G16</f>
        <v>C. 삼각함수</v>
      </c>
      <c r="D16" s="2" t="str">
        <f>작업!H16</f>
        <v>방정식과 부등식에의 활용</v>
      </c>
      <c r="E16" s="2" t="str">
        <f>작업!C16&amp;"("&amp;VLOOKUP(작업!D16,작업!$N$2:$O$6,2,0)&amp;")"</f>
        <v>20220615(♥♥♥♥♥)</v>
      </c>
      <c r="F16" s="2" t="str">
        <f>작업!I16</f>
        <v>mun/20220615.png</v>
      </c>
      <c r="G16" s="2">
        <f>작업!J16</f>
        <v>2</v>
      </c>
      <c r="H16" s="2">
        <f>작업!D16</f>
        <v>5</v>
      </c>
      <c r="I16" s="2">
        <f>작업!K16</f>
        <v>1</v>
      </c>
      <c r="J16" s="2" t="str">
        <f>작업!L16</f>
        <v>https://ebsi.co.kr/ebs/lms/player/retrieveLmsPlayerHtml5Simple.ebs?medUrl=https://WSTR.ebsi.co.kr/M41M2101/S20210000761/S20210000761_1M4_100030001258.mp4&amp;strStartTm=2334&amp;pType=2</v>
      </c>
    </row>
    <row r="17" spans="1:10" x14ac:dyDescent="0.3">
      <c r="A17" s="2" t="str">
        <f>작업!E17</f>
        <v>수학Ⅰ</v>
      </c>
      <c r="B17" s="2" t="str">
        <f>작업!F17</f>
        <v>1. 지수함수와 로그함수</v>
      </c>
      <c r="C17" s="2" t="str">
        <f>작업!G17</f>
        <v>A. 지수와 로그</v>
      </c>
      <c r="D17" s="2" t="str">
        <f>작업!H17</f>
        <v>로그의 연산</v>
      </c>
      <c r="E17" s="2" t="str">
        <f>작업!C17&amp;"("&amp;VLOOKUP(작업!D17,작업!$N$2:$O$6,2,0)&amp;")"</f>
        <v>20220616(♥)</v>
      </c>
      <c r="F17" s="2" t="str">
        <f>작업!I17</f>
        <v>mun/20220616.png</v>
      </c>
      <c r="G17" s="2">
        <f>작업!J17</f>
        <v>2</v>
      </c>
      <c r="H17" s="2">
        <f>작업!D17</f>
        <v>1</v>
      </c>
      <c r="I17" s="2">
        <f>작업!K17</f>
        <v>1</v>
      </c>
      <c r="J17" s="2" t="str">
        <f>작업!L17</f>
        <v>https://ebsi.co.kr/ebs/lms/player/retrieveLmsPlayerHtml5Simple.ebs?medUrl=https://WSTR.ebsi.co.kr/M41M2101/S20210000761/S20210000761_1M4_100030001258.mp4&amp;strStartTm=3002&amp;pType=2</v>
      </c>
    </row>
    <row r="18" spans="1:10" x14ac:dyDescent="0.3">
      <c r="A18" s="2" t="str">
        <f>작업!E18</f>
        <v>수학Ⅱ</v>
      </c>
      <c r="B18" s="2" t="str">
        <f>작업!F18</f>
        <v>2. 미분</v>
      </c>
      <c r="C18" s="2" t="str">
        <f>작업!G18</f>
        <v>J. 도함수의 활용</v>
      </c>
      <c r="D18" s="2" t="str">
        <f>작업!H18</f>
        <v>극대와 극소</v>
      </c>
      <c r="E18" s="2" t="str">
        <f>작업!C18&amp;"("&amp;VLOOKUP(작업!D18,작업!$N$2:$O$6,2,0)&amp;")"</f>
        <v>20220617(♥)</v>
      </c>
      <c r="F18" s="2" t="str">
        <f>작업!I18</f>
        <v>mun/20220617.png</v>
      </c>
      <c r="G18" s="2">
        <f>작업!J18</f>
        <v>11</v>
      </c>
      <c r="H18" s="2">
        <f>작업!D18</f>
        <v>1</v>
      </c>
      <c r="I18" s="2">
        <f>작업!K18</f>
        <v>1</v>
      </c>
      <c r="J18" s="2" t="str">
        <f>작업!L18</f>
        <v>https://ebsi.co.kr/ebs/lms/player/retrieveLmsPlayerHtml5Simple.ebs?medUrl=https://WSTR.ebsi.co.kr/M41M2101/S20210000761/S20210000761_1M4_100030001259.mp4&amp;strStartTm=2193&amp;pType=2</v>
      </c>
    </row>
    <row r="19" spans="1:10" x14ac:dyDescent="0.3">
      <c r="A19" s="2" t="str">
        <f>작업!E19</f>
        <v>수학Ⅰ</v>
      </c>
      <c r="B19" s="2" t="str">
        <f>작업!F19</f>
        <v>3. 수열</v>
      </c>
      <c r="C19" s="2" t="str">
        <f>작업!G19</f>
        <v>D. 등차수열과 등비수열</v>
      </c>
      <c r="D19" s="2" t="str">
        <f>작업!H19</f>
        <v>등비수열</v>
      </c>
      <c r="E19" s="2" t="str">
        <f>작업!C19&amp;"("&amp;VLOOKUP(작업!D19,작업!$N$2:$O$6,2,0)&amp;")"</f>
        <v>20220618(♥♥♥)</v>
      </c>
      <c r="F19" s="2" t="str">
        <f>작업!I19</f>
        <v>mun/20220618.png</v>
      </c>
      <c r="G19" s="2">
        <f>작업!J19</f>
        <v>4</v>
      </c>
      <c r="H19" s="2">
        <f>작업!D19</f>
        <v>3</v>
      </c>
      <c r="I19" s="2">
        <f>작업!K19</f>
        <v>1</v>
      </c>
      <c r="J19" s="2" t="str">
        <f>작업!L19</f>
        <v>https://ebsi.co.kr/ebs/lms/player/retrieveLmsPlayerHtml5Simple.ebs?medUrl=https://WSTR.ebsi.co.kr/M41M2101/S20210000761/S20210000761_1M4_100030001258.mp4&amp;strStartTm=3072&amp;pType=2</v>
      </c>
    </row>
    <row r="20" spans="1:10" x14ac:dyDescent="0.3">
      <c r="A20" s="2" t="str">
        <f>작업!E20</f>
        <v>수학Ⅱ</v>
      </c>
      <c r="B20" s="2" t="str">
        <f>작업!F20</f>
        <v>3. 적분</v>
      </c>
      <c r="C20" s="2" t="str">
        <f>작업!G20</f>
        <v>L. 정적분</v>
      </c>
      <c r="D20" s="2" t="str">
        <f>작업!H20</f>
        <v>속도와 거리</v>
      </c>
      <c r="E20" s="2" t="str">
        <f>작업!C20&amp;"("&amp;VLOOKUP(작업!D20,작업!$N$2:$O$6,2,0)&amp;")"</f>
        <v>20220619(♥♥♥)</v>
      </c>
      <c r="F20" s="2" t="str">
        <f>작업!I20</f>
        <v>mun/20220619.png</v>
      </c>
      <c r="G20" s="2">
        <f>작업!J20</f>
        <v>6</v>
      </c>
      <c r="H20" s="2">
        <f>작업!D20</f>
        <v>3</v>
      </c>
      <c r="I20" s="2">
        <f>작업!K20</f>
        <v>1</v>
      </c>
      <c r="J20" s="2" t="str">
        <f>작업!L20</f>
        <v>https://ebsi.co.kr/ebs/lms/player/retrieveLmsPlayerHtml5Simple.ebs?medUrl=https://WSTR.ebsi.co.kr/M41M2101/S20210000761/S20210000761_1M4_100030001259.mp4&amp;strStartTm=2279&amp;pType=2</v>
      </c>
    </row>
    <row r="21" spans="1:10" x14ac:dyDescent="0.3">
      <c r="A21" s="2" t="str">
        <f>작업!E21</f>
        <v>수학Ⅱ</v>
      </c>
      <c r="B21" s="2" t="str">
        <f>작업!F21</f>
        <v>3. 적분</v>
      </c>
      <c r="C21" s="2" t="str">
        <f>작업!G21</f>
        <v>L. 정적분</v>
      </c>
      <c r="D21" s="2" t="str">
        <f>작업!H21</f>
        <v>미적분학의 기본 정리</v>
      </c>
      <c r="E21" s="2" t="str">
        <f>작업!C21&amp;"("&amp;VLOOKUP(작업!D21,작업!$N$2:$O$6,2,0)&amp;")"</f>
        <v>20220620(♥♥♥♥)</v>
      </c>
      <c r="F21" s="2" t="str">
        <f>작업!I21</f>
        <v>mun/20220620.png</v>
      </c>
      <c r="G21" s="2">
        <f>작업!J21</f>
        <v>8</v>
      </c>
      <c r="H21" s="2">
        <f>작업!D21</f>
        <v>4</v>
      </c>
      <c r="I21" s="2">
        <f>작업!K21</f>
        <v>1</v>
      </c>
      <c r="J21" s="2" t="str">
        <f>작업!L21</f>
        <v>https://ebsi.co.kr/ebs/lms/player/retrieveLmsPlayerHtml5Simple.ebs?medUrl=https://WSTR.ebsi.co.kr/M41M2101/S20210000761/S20210000761_1M4_100030001259.mp4&amp;strStartTm=2579&amp;pType=2</v>
      </c>
    </row>
    <row r="22" spans="1:10" x14ac:dyDescent="0.3">
      <c r="A22" s="2" t="str">
        <f>작업!E22</f>
        <v>수학Ⅰ</v>
      </c>
      <c r="B22" s="2" t="str">
        <f>작업!F22</f>
        <v>1. 지수함수와 로그함수</v>
      </c>
      <c r="C22" s="2" t="str">
        <f>작업!G22</f>
        <v>A. 지수와 로그</v>
      </c>
      <c r="D22" s="2" t="str">
        <f>작업!H22</f>
        <v>거듭제곱근</v>
      </c>
      <c r="E22" s="2" t="str">
        <f>작업!C22&amp;"("&amp;VLOOKUP(작업!D22,작업!$N$2:$O$6,2,0)&amp;")"</f>
        <v>20220621(♥♥♥♥)</v>
      </c>
      <c r="F22" s="2" t="str">
        <f>작업!I22</f>
        <v>mun/20220621.png</v>
      </c>
      <c r="G22" s="2">
        <f>작업!J22</f>
        <v>24</v>
      </c>
      <c r="H22" s="2">
        <f>작업!D22</f>
        <v>4</v>
      </c>
      <c r="I22" s="2">
        <f>작업!K22</f>
        <v>1</v>
      </c>
      <c r="J22" s="2" t="str">
        <f>작업!L22</f>
        <v>https://ebsi.co.kr/ebs/lms/player/retrieveLmsPlayerHtml5Simple.ebs?medUrl=https://WSTR.ebsi.co.kr/M41M2101/S20210000761/S20210000761_1M4_100030001258.mp4&amp;strStartTm=3180&amp;pType=2</v>
      </c>
    </row>
    <row r="23" spans="1:10" x14ac:dyDescent="0.3">
      <c r="A23" s="2" t="str">
        <f>작업!E23</f>
        <v>수학Ⅱ</v>
      </c>
      <c r="B23" s="2" t="str">
        <f>작업!F23</f>
        <v>2. 미분</v>
      </c>
      <c r="C23" s="2" t="str">
        <f>작업!G23</f>
        <v>J. 도함수의 활용</v>
      </c>
      <c r="D23" s="2" t="str">
        <f>작업!H23</f>
        <v>함수의 추론</v>
      </c>
      <c r="E23" s="2" t="str">
        <f>작업!C23&amp;"("&amp;VLOOKUP(작업!D23,작업!$N$2:$O$6,2,0)&amp;")"</f>
        <v>20220622(♥♥♥♥♥)</v>
      </c>
      <c r="F23" s="2" t="str">
        <f>작업!I23</f>
        <v>mun/20220622.png</v>
      </c>
      <c r="G23" s="2">
        <f>작업!J23</f>
        <v>61</v>
      </c>
      <c r="H23" s="2">
        <f>작업!D23</f>
        <v>5</v>
      </c>
      <c r="I23" s="2">
        <f>작업!K23</f>
        <v>1</v>
      </c>
      <c r="J23" s="2" t="str">
        <f>작업!L23</f>
        <v>https://ebsi.co.kr/ebs/lms/player/retrieveLmsPlayerHtml5Simple.ebs?medUrl=https://WSTR.ebsi.co.kr/M41M2101/S20210000761/S20210000761_1M4_100030001259.mp4&amp;strStartTm=3383&amp;pType=2</v>
      </c>
    </row>
    <row r="24" spans="1:10" x14ac:dyDescent="0.3">
      <c r="A24" s="2" t="str">
        <f>작업!E24</f>
        <v>확률과 통계</v>
      </c>
      <c r="B24" s="2" t="str">
        <f>작업!F24</f>
        <v>1. 경우의 수</v>
      </c>
      <c r="C24" s="2" t="str">
        <f>작업!G24</f>
        <v>N. 이항정리와 이항계수</v>
      </c>
      <c r="D24" s="2" t="str">
        <f>작업!H24</f>
        <v>전개식의 계수</v>
      </c>
      <c r="E24" s="2" t="str">
        <f>작업!C24&amp;"("&amp;VLOOKUP(작업!D24,작업!$N$2:$O$6,2,0)&amp;")"</f>
        <v>20220623(♥)</v>
      </c>
      <c r="F24" s="2" t="str">
        <f>작업!I24</f>
        <v>mun/20220623.png</v>
      </c>
      <c r="G24" s="2">
        <f>작업!J24</f>
        <v>4</v>
      </c>
      <c r="H24" s="2">
        <f>작업!D24</f>
        <v>1</v>
      </c>
      <c r="I24" s="2">
        <f>작업!K24</f>
        <v>1</v>
      </c>
      <c r="J24" s="2" t="str">
        <f>작업!L24</f>
        <v>https://ebsi.co.kr/ebs/lms/player/retrieveLmsPlayerHtml5Simple.ebs?medUrl=https://WSTR.ebsi.co.kr/M41M2101/S20210000761/S20210000761_1M4_100030001261.mp4&amp;strStartTm=608&amp;pType=2</v>
      </c>
    </row>
    <row r="25" spans="1:10" x14ac:dyDescent="0.3">
      <c r="A25" s="2" t="str">
        <f>작업!E25</f>
        <v>확률과 통계</v>
      </c>
      <c r="B25" s="2" t="str">
        <f>작업!F25</f>
        <v>2. 확률</v>
      </c>
      <c r="C25" s="2" t="str">
        <f>작업!G25</f>
        <v>O. 수학적 확률</v>
      </c>
      <c r="D25" s="2" t="str">
        <f>작업!H25</f>
        <v>수학적 확률</v>
      </c>
      <c r="E25" s="2" t="str">
        <f>작업!C25&amp;"("&amp;VLOOKUP(작업!D25,작업!$N$2:$O$6,2,0)&amp;")"</f>
        <v>20220625(♥♥)</v>
      </c>
      <c r="F25" s="2" t="str">
        <f>작업!I25</f>
        <v>mun/20220625.png</v>
      </c>
      <c r="G25" s="2">
        <f>작업!J25</f>
        <v>3</v>
      </c>
      <c r="H25" s="2">
        <f>작업!D25</f>
        <v>2</v>
      </c>
      <c r="I25" s="2">
        <f>작업!K25</f>
        <v>1</v>
      </c>
      <c r="J25" s="2" t="str">
        <f>작업!L25</f>
        <v>https://ebsi.co.kr/ebs/lms/player/retrieveLmsPlayerHtml5Simple.ebs?medUrl=https://WSTR.ebsi.co.kr/M41M2101/S20210000761/S20210000761_1M4_100030001261.mp4&amp;strStartTm=749&amp;pType=2</v>
      </c>
    </row>
    <row r="26" spans="1:10" x14ac:dyDescent="0.3">
      <c r="A26" s="2" t="str">
        <f>작업!E26</f>
        <v>확률과 통계</v>
      </c>
      <c r="B26" s="2" t="str">
        <f>작업!F26</f>
        <v>2. 확률</v>
      </c>
      <c r="C26" s="2" t="str">
        <f>작업!G26</f>
        <v>O. 수학적 확률</v>
      </c>
      <c r="D26" s="2" t="str">
        <f>작업!H26</f>
        <v>수학적 확률</v>
      </c>
      <c r="E26" s="2" t="str">
        <f>작업!C26&amp;"("&amp;VLOOKUP(작업!D26,작업!$N$2:$O$6,2,0)&amp;")"</f>
        <v>20220630(♥♥♥♥♥)</v>
      </c>
      <c r="F26" s="2" t="str">
        <f>작업!I26</f>
        <v>mun/20220630.png</v>
      </c>
      <c r="G26" s="2">
        <f>작업!J26</f>
        <v>47</v>
      </c>
      <c r="H26" s="2">
        <f>작업!D26</f>
        <v>5</v>
      </c>
      <c r="I26" s="2">
        <f>작업!K26</f>
        <v>1</v>
      </c>
      <c r="J26" s="2" t="str">
        <f>작업!L26</f>
        <v>https://ebsi.co.kr/ebs/lms/player/retrieveLmsPlayerHtml5Simple.ebs?medUrl=https://WSTR.ebsi.co.kr/M41M2101/S20210000761/S20210000761_1M4_100030001261.mp4&amp;strStartTm=2605&amp;pType=2</v>
      </c>
    </row>
    <row r="27" spans="1:10" x14ac:dyDescent="0.3">
      <c r="A27" s="2" t="str">
        <f>작업!E27</f>
        <v>확률과 통계</v>
      </c>
      <c r="B27" s="2" t="str">
        <f>작업!F27</f>
        <v>1. 경우의 수</v>
      </c>
      <c r="C27" s="2" t="str">
        <f>작업!G27</f>
        <v>M. 여러 가지 순열과 중복 조합</v>
      </c>
      <c r="D27" s="2" t="str">
        <f>작업!H27</f>
        <v>중복 조합</v>
      </c>
      <c r="E27" s="2" t="str">
        <f>작업!C27&amp;"("&amp;VLOOKUP(작업!D27,작업!$N$2:$O$6,2,0)&amp;")"</f>
        <v>20220626(♥♥)</v>
      </c>
      <c r="F27" s="2" t="str">
        <f>작업!I27</f>
        <v>mun/20220626.png</v>
      </c>
      <c r="G27" s="2">
        <f>작업!J27</f>
        <v>3</v>
      </c>
      <c r="H27" s="2">
        <f>작업!D27</f>
        <v>2</v>
      </c>
      <c r="I27" s="2">
        <f>작업!K27</f>
        <v>1</v>
      </c>
      <c r="J27" s="2" t="str">
        <f>작업!L27</f>
        <v>https://ebsi.co.kr/ebs/lms/player/retrieveLmsPlayerHtml5Simple.ebs?medUrl=https://WSTR.ebsi.co.kr/M41M2101/S20210000761/S20210000761_1M4_100030001261.mp4&amp;strStartTm=1048&amp;pType=2</v>
      </c>
    </row>
    <row r="28" spans="1:10" x14ac:dyDescent="0.3">
      <c r="A28" s="2" t="str">
        <f>작업!E28</f>
        <v>확률과 통계</v>
      </c>
      <c r="B28" s="2" t="str">
        <f>작업!F28</f>
        <v>2. 확률</v>
      </c>
      <c r="C28" s="2" t="str">
        <f>작업!G28</f>
        <v>O. 수학적 확률</v>
      </c>
      <c r="D28" s="2" t="str">
        <f>작업!H28</f>
        <v>수학적 확률</v>
      </c>
      <c r="E28" s="2" t="str">
        <f>작업!C28&amp;"("&amp;VLOOKUP(작업!D28,작업!$N$2:$O$6,2,0)&amp;")"</f>
        <v>20220924(♥)</v>
      </c>
      <c r="F28" s="2" t="str">
        <f>작업!I28</f>
        <v>mun/20220924.png</v>
      </c>
      <c r="G28" s="2">
        <f>작업!J28</f>
        <v>3</v>
      </c>
      <c r="H28" s="2">
        <f>작업!D28</f>
        <v>1</v>
      </c>
      <c r="I28" s="2">
        <f>작업!K28</f>
        <v>1</v>
      </c>
      <c r="J28" s="2" t="str">
        <f>작업!L28</f>
        <v>https://ebsi.co.kr/ebs/lms/player/retrieveLmsPlayerHtml5Simple.ebs?medUrl=https://WSTR.ebsi.co.kr/M41M2101/S20210001003/S20210001003_1M4_100030008433.mp4&amp;strStartTm=458&amp;pType=2</v>
      </c>
    </row>
    <row r="29" spans="1:10" x14ac:dyDescent="0.3">
      <c r="A29" s="2" t="str">
        <f>작업!E29</f>
        <v>확률과 통계</v>
      </c>
      <c r="B29" s="2" t="str">
        <f>작업!F29</f>
        <v>1. 경우의 수</v>
      </c>
      <c r="C29" s="2" t="str">
        <f>작업!G29</f>
        <v>M. 여러 가지 순열과 중복 조합</v>
      </c>
      <c r="D29" s="2" t="str">
        <f>작업!H29</f>
        <v>같은 것이 있는 순열</v>
      </c>
      <c r="E29" s="2" t="str">
        <f>작업!C29&amp;"("&amp;VLOOKUP(작업!D29,작업!$N$2:$O$6,2,0)&amp;")"</f>
        <v>20220628(♥♥♥♥)</v>
      </c>
      <c r="F29" s="2" t="str">
        <f>작업!I29</f>
        <v>mun/20220628.png</v>
      </c>
      <c r="G29" s="2">
        <f>작업!J29</f>
        <v>5</v>
      </c>
      <c r="H29" s="2">
        <f>작업!D29</f>
        <v>4</v>
      </c>
      <c r="I29" s="2">
        <f>작업!K29</f>
        <v>1</v>
      </c>
      <c r="J29" s="2" t="str">
        <f>작업!L29</f>
        <v>https://ebsi.co.kr/ebs/lms/player/retrieveLmsPlayerHtml5Simple.ebs?medUrl=https://WSTR.ebsi.co.kr/M41M2101/S20210000761/S20210000761_1M4_100030001261.mp4&amp;strStartTm=1776&amp;pType=2</v>
      </c>
    </row>
    <row r="30" spans="1:10" x14ac:dyDescent="0.3">
      <c r="A30" s="2" t="str">
        <f>작업!E30</f>
        <v>확률과 통계</v>
      </c>
      <c r="B30" s="2" t="str">
        <f>작업!F30</f>
        <v>1. 경우의 수</v>
      </c>
      <c r="C30" s="2" t="str">
        <f>작업!G30</f>
        <v>M. 여러 가지 순열과 중복 조합</v>
      </c>
      <c r="D30" s="2" t="str">
        <f>작업!H30</f>
        <v>원순열</v>
      </c>
      <c r="E30" s="2" t="str">
        <f>작업!C30&amp;"("&amp;VLOOKUP(작업!D30,작업!$N$2:$O$6,2,0)&amp;")"</f>
        <v>20220629(♥♥♥♥)</v>
      </c>
      <c r="F30" s="2" t="str">
        <f>작업!I30</f>
        <v>mun/20220629.png</v>
      </c>
      <c r="G30" s="2">
        <f>작업!J30</f>
        <v>48</v>
      </c>
      <c r="H30" s="2">
        <f>작업!D30</f>
        <v>4</v>
      </c>
      <c r="I30" s="2">
        <f>작업!K30</f>
        <v>1</v>
      </c>
      <c r="J30" s="2" t="str">
        <f>작업!L30</f>
        <v>https://ebsi.co.kr/ebs/lms/player/retrieveLmsPlayerHtml5Simple.ebs?medUrl=https://WSTR.ebsi.co.kr/M41M2101/S20210000761/S20210000761_1M4_100030001261.mp4&amp;strStartTm=2079&amp;pType=2</v>
      </c>
    </row>
    <row r="31" spans="1:10" x14ac:dyDescent="0.3">
      <c r="A31" s="2" t="str">
        <f>작업!E31</f>
        <v>확률과 통계</v>
      </c>
      <c r="B31" s="2" t="str">
        <f>작업!F31</f>
        <v>2. 확률</v>
      </c>
      <c r="C31" s="2" t="str">
        <f>작업!G31</f>
        <v>O. 수학적 확률</v>
      </c>
      <c r="D31" s="2" t="str">
        <f>작업!H31</f>
        <v>수학적 확률</v>
      </c>
      <c r="E31" s="2" t="str">
        <f>작업!C31&amp;"("&amp;VLOOKUP(작업!D31,작업!$N$2:$O$6,2,0)&amp;")"</f>
        <v>20221126(♥♥)</v>
      </c>
      <c r="F31" s="2" t="str">
        <f>작업!I31</f>
        <v>mun/20221126.png</v>
      </c>
      <c r="G31" s="2">
        <f>작업!J31</f>
        <v>3</v>
      </c>
      <c r="H31" s="2">
        <f>작업!D31</f>
        <v>2</v>
      </c>
      <c r="I31" s="2">
        <f>작업!K31</f>
        <v>1</v>
      </c>
      <c r="J31" s="2" t="str">
        <f>작업!L31</f>
        <v>https://ebsi.co.kr/ebs/lms/player/retrieveLmsPlayerHtml5Simple.ebs?medUrl=https://WSTR.ebsi.co.kr/M41M2101/S20210001189/S20210001189_1M4_100030011708.mp4&amp;strStartTm=1007&amp;pType=2</v>
      </c>
    </row>
    <row r="32" spans="1:10" x14ac:dyDescent="0.3">
      <c r="A32" s="2" t="str">
        <f>작업!E32</f>
        <v>수학Ⅰ</v>
      </c>
      <c r="B32" s="2" t="str">
        <f>작업!F32</f>
        <v>1. 지수함수와 로그함수</v>
      </c>
      <c r="C32" s="2" t="str">
        <f>작업!G32</f>
        <v>A. 지수와 로그</v>
      </c>
      <c r="D32" s="2" t="str">
        <f>작업!H32</f>
        <v>지수의 연산</v>
      </c>
      <c r="E32" s="2" t="str">
        <f>작업!C32&amp;"("&amp;VLOOKUP(작업!D32,작업!$N$2:$O$6,2,0)&amp;")"</f>
        <v>20220901(♥)</v>
      </c>
      <c r="F32" s="2" t="str">
        <f>작업!I32</f>
        <v>mun/20220901.png</v>
      </c>
      <c r="G32" s="2">
        <f>작업!J32</f>
        <v>1</v>
      </c>
      <c r="H32" s="2">
        <f>작업!D32</f>
        <v>1</v>
      </c>
      <c r="I32" s="2">
        <f>작업!K32</f>
        <v>1</v>
      </c>
      <c r="J32" s="2" t="str">
        <f>작업!L32</f>
        <v>https://ebsi.co.kr/ebs/lms/player/retrieveLmsPlayerHtml5Simple.ebs?medUrl=https://WSTR.ebsi.co.kr/M41M2101/S20210001003/S20210001003_1M4_100030008430.mp4&amp;strStartTm=169&amp;pType=2</v>
      </c>
    </row>
    <row r="33" spans="1:10" x14ac:dyDescent="0.3">
      <c r="A33" s="2" t="str">
        <f>작업!E33</f>
        <v>수학Ⅱ</v>
      </c>
      <c r="B33" s="2" t="str">
        <f>작업!F33</f>
        <v>2. 미분</v>
      </c>
      <c r="C33" s="2" t="str">
        <f>작업!G33</f>
        <v>I. 도함수</v>
      </c>
      <c r="D33" s="2" t="str">
        <f>작업!H33</f>
        <v>미분계수와 도함수</v>
      </c>
      <c r="E33" s="2" t="str">
        <f>작업!C33&amp;"("&amp;VLOOKUP(작업!D33,작업!$N$2:$O$6,2,0)&amp;")"</f>
        <v>20220902(♥)</v>
      </c>
      <c r="F33" s="2" t="str">
        <f>작업!I33</f>
        <v>mun/20220902.png</v>
      </c>
      <c r="G33" s="2">
        <f>작업!J33</f>
        <v>5</v>
      </c>
      <c r="H33" s="2">
        <f>작업!D33</f>
        <v>1</v>
      </c>
      <c r="I33" s="2">
        <f>작업!K33</f>
        <v>1</v>
      </c>
      <c r="J33" s="2" t="str">
        <f>작업!L33</f>
        <v>https://ebsi.co.kr/ebs/lms/player/retrieveLmsPlayerHtml5Simple.ebs?medUrl=https://WSTR.ebsi.co.kr/M41M2101/S20210001003/S20210001003_1M4_100030008431.mp4&amp;strStartTm=206&amp;pType=2</v>
      </c>
    </row>
    <row r="34" spans="1:10" x14ac:dyDescent="0.3">
      <c r="A34" s="2" t="str">
        <f>작업!E34</f>
        <v>수학Ⅰ</v>
      </c>
      <c r="B34" s="2" t="str">
        <f>작업!F34</f>
        <v>3. 수열</v>
      </c>
      <c r="C34" s="2" t="str">
        <f>작업!G34</f>
        <v>D. 등차수열과 등비수열</v>
      </c>
      <c r="D34" s="2" t="str">
        <f>작업!H34</f>
        <v>등비수열</v>
      </c>
      <c r="E34" s="2" t="str">
        <f>작업!C34&amp;"("&amp;VLOOKUP(작업!D34,작업!$N$2:$O$6,2,0)&amp;")"</f>
        <v>20220903(♥)</v>
      </c>
      <c r="F34" s="2" t="str">
        <f>작업!I34</f>
        <v>mun/20220903.png</v>
      </c>
      <c r="G34" s="2">
        <f>작업!J34</f>
        <v>5</v>
      </c>
      <c r="H34" s="2">
        <f>작업!D34</f>
        <v>1</v>
      </c>
      <c r="I34" s="2">
        <f>작업!K34</f>
        <v>1</v>
      </c>
      <c r="J34" s="2" t="str">
        <f>작업!L34</f>
        <v>https://ebsi.co.kr/ebs/lms/player/retrieveLmsPlayerHtml5Simple.ebs?medUrl=https://WSTR.ebsi.co.kr/M41M2101/S20210001003/S20210001003_1M4_100030008430.mp4&amp;strStartTm=259&amp;pType=2</v>
      </c>
    </row>
    <row r="35" spans="1:10" x14ac:dyDescent="0.3">
      <c r="A35" s="2" t="str">
        <f>작업!E35</f>
        <v>수학Ⅱ</v>
      </c>
      <c r="B35" s="2" t="str">
        <f>작업!F35</f>
        <v>1. 함수의 극한과 연속</v>
      </c>
      <c r="C35" s="2" t="str">
        <f>작업!G35</f>
        <v>H. 함수의 연속</v>
      </c>
      <c r="D35" s="2" t="str">
        <f>작업!H35</f>
        <v>함수의 연속</v>
      </c>
      <c r="E35" s="2" t="str">
        <f>작업!C35&amp;"("&amp;VLOOKUP(작업!D35,작업!$N$2:$O$6,2,0)&amp;")"</f>
        <v>20220904(♥♥)</v>
      </c>
      <c r="F35" s="2" t="str">
        <f>작업!I35</f>
        <v>mun/20220904.png</v>
      </c>
      <c r="G35" s="2">
        <f>작업!J35</f>
        <v>4</v>
      </c>
      <c r="H35" s="2">
        <f>작업!D35</f>
        <v>2</v>
      </c>
      <c r="I35" s="2">
        <f>작업!K35</f>
        <v>1</v>
      </c>
      <c r="J35" s="2" t="str">
        <f>작업!L35</f>
        <v>https://ebsi.co.kr/ebs/lms/player/retrieveLmsPlayerHtml5Simple.ebs?medUrl=https://WSTR.ebsi.co.kr/M41M2101/S20210001003/S20210001003_1M4_100030008431.mp4&amp;strStartTm=262&amp;pType=2</v>
      </c>
    </row>
    <row r="36" spans="1:10" x14ac:dyDescent="0.3">
      <c r="A36" s="2" t="str">
        <f>작업!E36</f>
        <v>수학Ⅱ</v>
      </c>
      <c r="B36" s="2" t="str">
        <f>작업!F36</f>
        <v>2. 미분</v>
      </c>
      <c r="C36" s="2" t="str">
        <f>작업!G36</f>
        <v>J. 도함수의 활용</v>
      </c>
      <c r="D36" s="2" t="str">
        <f>작업!H36</f>
        <v>극대와 극소</v>
      </c>
      <c r="E36" s="2" t="str">
        <f>작업!C36&amp;"("&amp;VLOOKUP(작업!D36,작업!$N$2:$O$6,2,0)&amp;")"</f>
        <v>20220905(♥♥)</v>
      </c>
      <c r="F36" s="2" t="str">
        <f>작업!I36</f>
        <v>mun/20220905.png</v>
      </c>
      <c r="G36" s="2">
        <f>작업!J36</f>
        <v>3</v>
      </c>
      <c r="H36" s="2">
        <f>작업!D36</f>
        <v>2</v>
      </c>
      <c r="I36" s="2">
        <f>작업!K36</f>
        <v>1</v>
      </c>
      <c r="J36" s="2" t="str">
        <f>작업!L36</f>
        <v>https://ebsi.co.kr/ebs/lms/player/retrieveLmsPlayerHtml5Simple.ebs?medUrl=https://WSTR.ebsi.co.kr/M41M2101/S20210001003/S20210001003_1M4_100030008431.mp4&amp;strStartTm=348&amp;pType=2</v>
      </c>
    </row>
    <row r="37" spans="1:10" x14ac:dyDescent="0.3">
      <c r="A37" s="2" t="str">
        <f>작업!E37</f>
        <v>수학Ⅰ</v>
      </c>
      <c r="B37" s="2" t="str">
        <f>작업!F37</f>
        <v>2. 삼각함수</v>
      </c>
      <c r="C37" s="2" t="str">
        <f>작업!G37</f>
        <v>C. 삼각함수</v>
      </c>
      <c r="D37" s="2" t="str">
        <f>작업!H37</f>
        <v>삼각함수의 값</v>
      </c>
      <c r="E37" s="2" t="str">
        <f>작업!C37&amp;"("&amp;VLOOKUP(작업!D37,작업!$N$2:$O$6,2,0)&amp;")"</f>
        <v>20220906(♥♥)</v>
      </c>
      <c r="F37" s="2" t="str">
        <f>작업!I37</f>
        <v>mun/20220906.png</v>
      </c>
      <c r="G37" s="2">
        <f>작업!J37</f>
        <v>1</v>
      </c>
      <c r="H37" s="2">
        <f>작업!D37</f>
        <v>2</v>
      </c>
      <c r="I37" s="2">
        <f>작업!K37</f>
        <v>1</v>
      </c>
      <c r="J37" s="2" t="str">
        <f>작업!L37</f>
        <v>https://ebsi.co.kr/ebs/lms/player/retrieveLmsPlayerHtml5Simple.ebs?medUrl=https://WSTR.ebsi.co.kr/M41M2101/S20210001003/S20210001003_1M4_100030008430.mp4&amp;strStartTm=447&amp;pType=2</v>
      </c>
    </row>
    <row r="38" spans="1:10" x14ac:dyDescent="0.3">
      <c r="A38" s="2" t="str">
        <f>작업!E38</f>
        <v>수학Ⅰ</v>
      </c>
      <c r="B38" s="2" t="str">
        <f>작업!F38</f>
        <v>3. 수열</v>
      </c>
      <c r="C38" s="2" t="str">
        <f>작업!G38</f>
        <v>E. 수열의 합</v>
      </c>
      <c r="D38" s="2" t="str">
        <f>작업!H38</f>
        <v>여러 가지 수열의 합</v>
      </c>
      <c r="E38" s="2" t="str">
        <f>작업!C38&amp;"("&amp;VLOOKUP(작업!D38,작업!$N$2:$O$6,2,0)&amp;")"</f>
        <v>20220907(♥♥)</v>
      </c>
      <c r="F38" s="2" t="str">
        <f>작업!I38</f>
        <v>mun/20220907.png</v>
      </c>
      <c r="G38" s="2">
        <f>작업!J38</f>
        <v>4</v>
      </c>
      <c r="H38" s="2">
        <f>작업!D38</f>
        <v>2</v>
      </c>
      <c r="I38" s="2">
        <f>작업!K38</f>
        <v>1</v>
      </c>
      <c r="J38" s="2" t="str">
        <f>작업!L38</f>
        <v>https://ebsi.co.kr/ebs/lms/player/retrieveLmsPlayerHtml5Simple.ebs?medUrl=https://WSTR.ebsi.co.kr/M41M2101/S20210001003/S20210001003_1M4_100030008430.mp4&amp;strStartTm=673&amp;pType=2</v>
      </c>
    </row>
    <row r="39" spans="1:10" x14ac:dyDescent="0.3">
      <c r="A39" s="2" t="str">
        <f>작업!E39</f>
        <v>수학Ⅱ</v>
      </c>
      <c r="B39" s="2" t="str">
        <f>작업!F39</f>
        <v>1. 함수의 극한과 연속</v>
      </c>
      <c r="C39" s="2" t="str">
        <f>작업!G39</f>
        <v>G. 함수의 극한</v>
      </c>
      <c r="D39" s="2" t="str">
        <f>작업!H39</f>
        <v>함수의 극한</v>
      </c>
      <c r="E39" s="2" t="str">
        <f>작업!C39&amp;"("&amp;VLOOKUP(작업!D39,작업!$N$2:$O$6,2,0)&amp;")"</f>
        <v>20220908(♥♥)</v>
      </c>
      <c r="F39" s="2" t="str">
        <f>작업!I39</f>
        <v>mun/20220908.png</v>
      </c>
      <c r="G39" s="2">
        <f>작업!J39</f>
        <v>2</v>
      </c>
      <c r="H39" s="2">
        <f>작업!D39</f>
        <v>2</v>
      </c>
      <c r="I39" s="2">
        <f>작업!K39</f>
        <v>1</v>
      </c>
      <c r="J39" s="2" t="str">
        <f>작업!L39</f>
        <v>https://ebsi.co.kr/ebs/lms/player/retrieveLmsPlayerHtml5Simple.ebs?medUrl=https://WSTR.ebsi.co.kr/M41M2101/S20210001003/S20210001003_1M4_100030008431.mp4&amp;strStartTm=516&amp;pType=2</v>
      </c>
    </row>
    <row r="40" spans="1:10" x14ac:dyDescent="0.3">
      <c r="A40" s="2" t="str">
        <f>작업!E40</f>
        <v>수학Ⅱ</v>
      </c>
      <c r="B40" s="2" t="str">
        <f>작업!F40</f>
        <v>3. 적분</v>
      </c>
      <c r="C40" s="2" t="str">
        <f>작업!G40</f>
        <v>L. 정적분</v>
      </c>
      <c r="D40" s="2" t="str">
        <f>작업!H40</f>
        <v>속도와 거리</v>
      </c>
      <c r="E40" s="2" t="str">
        <f>작업!C40&amp;"("&amp;VLOOKUP(작업!D40,작업!$N$2:$O$6,2,0)&amp;")"</f>
        <v>20220909(♥♥♥)</v>
      </c>
      <c r="F40" s="2" t="str">
        <f>작업!I40</f>
        <v>mun/20220909.png</v>
      </c>
      <c r="G40" s="2">
        <f>작업!J40</f>
        <v>3</v>
      </c>
      <c r="H40" s="2">
        <f>작업!D40</f>
        <v>3</v>
      </c>
      <c r="I40" s="2">
        <f>작업!K40</f>
        <v>1</v>
      </c>
      <c r="J40" s="2" t="str">
        <f>작업!L40</f>
        <v>https://ebsi.co.kr/ebs/lms/player/retrieveLmsPlayerHtml5Simple.ebs?medUrl=https://WSTR.ebsi.co.kr/M41M2101/S20210001003/S20210001003_1M4_100030008431.mp4&amp;strStartTm=796&amp;pType=2</v>
      </c>
    </row>
    <row r="41" spans="1:10" x14ac:dyDescent="0.3">
      <c r="A41" s="2" t="str">
        <f>작업!E41</f>
        <v>수학Ⅰ</v>
      </c>
      <c r="B41" s="2" t="str">
        <f>작업!F41</f>
        <v>2. 삼각함수</v>
      </c>
      <c r="C41" s="2" t="str">
        <f>작업!G41</f>
        <v>C. 삼각함수</v>
      </c>
      <c r="D41" s="2" t="str">
        <f>작업!H41</f>
        <v>삼각함수의 그래프</v>
      </c>
      <c r="E41" s="2" t="str">
        <f>작업!C41&amp;"("&amp;VLOOKUP(작업!D41,작업!$N$2:$O$6,2,0)&amp;")"</f>
        <v>20220910(♥♥♥)</v>
      </c>
      <c r="F41" s="2" t="str">
        <f>작업!I41</f>
        <v>mun/20220910.png</v>
      </c>
      <c r="G41" s="2">
        <f>작업!J41</f>
        <v>3</v>
      </c>
      <c r="H41" s="2">
        <f>작업!D41</f>
        <v>3</v>
      </c>
      <c r="I41" s="2">
        <f>작업!K41</f>
        <v>1</v>
      </c>
      <c r="J41" s="2" t="str">
        <f>작업!L41</f>
        <v>https://ebsi.co.kr/ebs/lms/player/retrieveLmsPlayerHtml5Simple.ebs?medUrl=https://WSTR.ebsi.co.kr/M41M2101/S20210001003/S20210001003_1M4_100030008430.mp4&amp;strStartTm=906&amp;pType=2</v>
      </c>
    </row>
    <row r="42" spans="1:10" x14ac:dyDescent="0.3">
      <c r="A42" s="2" t="str">
        <f>작업!E42</f>
        <v>수학Ⅱ</v>
      </c>
      <c r="B42" s="2" t="str">
        <f>작업!F42</f>
        <v>3. 적분</v>
      </c>
      <c r="C42" s="2" t="str">
        <f>작업!G42</f>
        <v>L. 정적분</v>
      </c>
      <c r="D42" s="2" t="str">
        <f>작업!H42</f>
        <v>미적분학의 기본 정리</v>
      </c>
      <c r="E42" s="2" t="str">
        <f>작업!C42&amp;"("&amp;VLOOKUP(작업!D42,작업!$N$2:$O$6,2,0)&amp;")"</f>
        <v>20220911(♥♥♥)</v>
      </c>
      <c r="F42" s="2" t="str">
        <f>작업!I42</f>
        <v>mun/20220911.png</v>
      </c>
      <c r="G42" s="2">
        <f>작업!J42</f>
        <v>4</v>
      </c>
      <c r="H42" s="2">
        <f>작업!D42</f>
        <v>3</v>
      </c>
      <c r="I42" s="2">
        <f>작업!K42</f>
        <v>1</v>
      </c>
      <c r="J42" s="2" t="str">
        <f>작업!L42</f>
        <v>https://ebsi.co.kr/ebs/lms/player/retrieveLmsPlayerHtml5Simple.ebs?medUrl=https://WSTR.ebsi.co.kr/M41M2101/S20210001003/S20210001003_1M4_100030008431.mp4&amp;strStartTm=1109&amp;pType=2</v>
      </c>
    </row>
    <row r="43" spans="1:10" x14ac:dyDescent="0.3">
      <c r="A43" s="2" t="str">
        <f>작업!E43</f>
        <v>수학Ⅰ</v>
      </c>
      <c r="B43" s="2" t="str">
        <f>작업!F43</f>
        <v>2. 삼각함수</v>
      </c>
      <c r="C43" s="2" t="str">
        <f>작업!G43</f>
        <v>C. 삼각함수</v>
      </c>
      <c r="D43" s="2" t="str">
        <f>작업!H43</f>
        <v>사인법칙과 코사인법칙</v>
      </c>
      <c r="E43" s="2" t="str">
        <f>작업!C43&amp;"("&amp;VLOOKUP(작업!D43,작업!$N$2:$O$6,2,0)&amp;")"</f>
        <v>20220912(♥♥♥♥)</v>
      </c>
      <c r="F43" s="2" t="str">
        <f>작업!I43</f>
        <v>mun/20220912.png</v>
      </c>
      <c r="G43" s="2">
        <f>작업!J43</f>
        <v>2</v>
      </c>
      <c r="H43" s="2">
        <f>작업!D43</f>
        <v>4</v>
      </c>
      <c r="I43" s="2">
        <f>작업!K43</f>
        <v>1</v>
      </c>
      <c r="J43" s="2" t="str">
        <f>작업!L43</f>
        <v>https://ebsi.co.kr/ebs/lms/player/retrieveLmsPlayerHtml5Simple.ebs?medUrl=https://WSTR.ebsi.co.kr/M41M2101/S20210001003/S20210001003_1M4_100030008430.mp4&amp;strStartTm=1272&amp;pType=2</v>
      </c>
    </row>
    <row r="44" spans="1:10" x14ac:dyDescent="0.3">
      <c r="A44" s="2" t="str">
        <f>작업!E44</f>
        <v>수학Ⅰ</v>
      </c>
      <c r="B44" s="2" t="str">
        <f>작업!F44</f>
        <v>3. 수열</v>
      </c>
      <c r="C44" s="2" t="str">
        <f>작업!G44</f>
        <v>D. 등차수열과 등비수열</v>
      </c>
      <c r="D44" s="2" t="str">
        <f>작업!H44</f>
        <v>등차수열</v>
      </c>
      <c r="E44" s="2" t="str">
        <f>작업!C44&amp;"("&amp;VLOOKUP(작업!D44,작업!$N$2:$O$6,2,0)&amp;")"</f>
        <v>20220913(♥♥♥♥)</v>
      </c>
      <c r="F44" s="2" t="str">
        <f>작업!I44</f>
        <v>mun/20220913.png</v>
      </c>
      <c r="G44" s="2">
        <f>작업!J44</f>
        <v>2</v>
      </c>
      <c r="H44" s="2">
        <f>작업!D44</f>
        <v>4</v>
      </c>
      <c r="I44" s="2">
        <f>작업!K44</f>
        <v>1</v>
      </c>
      <c r="J44" s="2" t="str">
        <f>작업!L44</f>
        <v>https://ebsi.co.kr/ebs/lms/player/retrieveLmsPlayerHtml5Simple.ebs?medUrl=https://WSTR.ebsi.co.kr/M41M2101/S20210001003/S20210001003_1M4_100030008430.mp4&amp;strStartTm=1718&amp;pType=2</v>
      </c>
    </row>
    <row r="45" spans="1:10" x14ac:dyDescent="0.3">
      <c r="A45" s="2" t="str">
        <f>작업!E45</f>
        <v>수학Ⅱ</v>
      </c>
      <c r="B45" s="2" t="str">
        <f>작업!F45</f>
        <v>3. 적분</v>
      </c>
      <c r="C45" s="2" t="str">
        <f>작업!G45</f>
        <v>L. 정적분</v>
      </c>
      <c r="D45" s="2" t="str">
        <f>작업!H45</f>
        <v>정적분</v>
      </c>
      <c r="E45" s="2" t="str">
        <f>작업!C45&amp;"("&amp;VLOOKUP(작업!D45,작업!$N$2:$O$6,2,0)&amp;")"</f>
        <v>20220914(♥♥♥♥)</v>
      </c>
      <c r="F45" s="2" t="str">
        <f>작업!I45</f>
        <v>mun/20220914.png</v>
      </c>
      <c r="G45" s="2">
        <f>작업!J45</f>
        <v>5</v>
      </c>
      <c r="H45" s="2">
        <f>작업!D45</f>
        <v>4</v>
      </c>
      <c r="I45" s="2">
        <f>작업!K45</f>
        <v>1</v>
      </c>
      <c r="J45" s="2" t="str">
        <f>작업!L45</f>
        <v>https://ebsi.co.kr/ebs/lms/player/retrieveLmsPlayerHtml5Simple.ebs?medUrl=https://WSTR.ebsi.co.kr/M41M2101/S20210001003/S20210001003_1M4_100030008431.mp4&amp;strStartTm=1516&amp;pType=2</v>
      </c>
    </row>
    <row r="46" spans="1:10" x14ac:dyDescent="0.3">
      <c r="A46" s="2" t="str">
        <f>작업!E46</f>
        <v>수학Ⅰ</v>
      </c>
      <c r="B46" s="2" t="str">
        <f>작업!F46</f>
        <v>3. 수열</v>
      </c>
      <c r="C46" s="2" t="str">
        <f>작업!G46</f>
        <v>F. 수학적 귀납법</v>
      </c>
      <c r="D46" s="2" t="str">
        <f>작업!H46</f>
        <v>수열의 귀납적 정의</v>
      </c>
      <c r="E46" s="2" t="str">
        <f>작업!C46&amp;"("&amp;VLOOKUP(작업!D46,작업!$N$2:$O$6,2,0)&amp;")"</f>
        <v>20220915(♥♥♥♥♥)</v>
      </c>
      <c r="F46" s="2" t="str">
        <f>작업!I46</f>
        <v>mun/20220915.png</v>
      </c>
      <c r="G46" s="2">
        <f>작업!J46</f>
        <v>1</v>
      </c>
      <c r="H46" s="2">
        <f>작업!D46</f>
        <v>5</v>
      </c>
      <c r="I46" s="2">
        <f>작업!K46</f>
        <v>1</v>
      </c>
      <c r="J46" s="2" t="str">
        <f>작업!L46</f>
        <v>https://ebsi.co.kr/ebs/lms/player/retrieveLmsPlayerHtml5Simple.ebs?medUrl=https://WSTR.ebsi.co.kr/M41M2101/S20210001003/S20210001003_1M4_100030008430.mp4&amp;strStartTm=2294&amp;pType=2</v>
      </c>
    </row>
    <row r="47" spans="1:10" x14ac:dyDescent="0.3">
      <c r="A47" s="2" t="str">
        <f>작업!E47</f>
        <v>수학Ⅰ</v>
      </c>
      <c r="B47" s="2" t="str">
        <f>작업!F47</f>
        <v>1. 지수함수와 로그함수</v>
      </c>
      <c r="C47" s="2" t="str">
        <f>작업!G47</f>
        <v>A. 지수와 로그</v>
      </c>
      <c r="D47" s="2" t="str">
        <f>작업!H47</f>
        <v>로그의 연산</v>
      </c>
      <c r="E47" s="2" t="str">
        <f>작업!C47&amp;"("&amp;VLOOKUP(작업!D47,작업!$N$2:$O$6,2,0)&amp;")"</f>
        <v>20220916(♥)</v>
      </c>
      <c r="F47" s="2" t="str">
        <f>작업!I47</f>
        <v>mun/20220916.png</v>
      </c>
      <c r="G47" s="2">
        <f>작업!J47</f>
        <v>2</v>
      </c>
      <c r="H47" s="2">
        <f>작업!D47</f>
        <v>1</v>
      </c>
      <c r="I47" s="2">
        <f>작업!K47</f>
        <v>1</v>
      </c>
      <c r="J47" s="2" t="str">
        <f>작업!L47</f>
        <v>https://ebsi.co.kr/ebs/lms/player/retrieveLmsPlayerHtml5Simple.ebs?medUrl=https://WSTR.ebsi.co.kr/M41M2101/S20210001003/S20210001003_1M4_100030008430.mp4&amp;strStartTm=3033&amp;pType=2</v>
      </c>
    </row>
    <row r="48" spans="1:10" x14ac:dyDescent="0.3">
      <c r="A48" s="2" t="str">
        <f>작업!E48</f>
        <v>수학Ⅱ</v>
      </c>
      <c r="B48" s="2" t="str">
        <f>작업!F48</f>
        <v>3. 적분</v>
      </c>
      <c r="C48" s="2" t="str">
        <f>작업!G48</f>
        <v>K. 부정적분</v>
      </c>
      <c r="D48" s="2" t="str">
        <f>작업!H48</f>
        <v>부정적분</v>
      </c>
      <c r="E48" s="2" t="str">
        <f>작업!C48&amp;"("&amp;VLOOKUP(작업!D48,작업!$N$2:$O$6,2,0)&amp;")"</f>
        <v>20220917(♥)</v>
      </c>
      <c r="F48" s="2" t="str">
        <f>작업!I48</f>
        <v>mun/20220917.png</v>
      </c>
      <c r="G48" s="2">
        <f>작업!J48</f>
        <v>8</v>
      </c>
      <c r="H48" s="2">
        <f>작업!D48</f>
        <v>1</v>
      </c>
      <c r="I48" s="2">
        <f>작업!K48</f>
        <v>1</v>
      </c>
      <c r="J48" s="2" t="str">
        <f>작업!L48</f>
        <v>https://ebsi.co.kr/ebs/lms/player/retrieveLmsPlayerHtml5Simple.ebs?medUrl=https://WSTR.ebsi.co.kr/M41M2101/S20210001003/S20210001003_1M4_100030008431.mp4&amp;strStartTm=2442&amp;pType=2</v>
      </c>
    </row>
    <row r="49" spans="1:10" x14ac:dyDescent="0.3">
      <c r="A49" s="2" t="str">
        <f>작업!E49</f>
        <v>수학Ⅰ</v>
      </c>
      <c r="B49" s="2" t="str">
        <f>작업!F49</f>
        <v>3. 수열</v>
      </c>
      <c r="C49" s="2" t="str">
        <f>작업!G49</f>
        <v>E. 수열의 합</v>
      </c>
      <c r="D49" s="2" t="str">
        <f>작업!H49</f>
        <v>시그마의 뜻과 성질</v>
      </c>
      <c r="E49" s="2" t="str">
        <f>작업!C49&amp;"("&amp;VLOOKUP(작업!D49,작업!$N$2:$O$6,2,0)&amp;")"</f>
        <v>20220918(♥♥♥)</v>
      </c>
      <c r="F49" s="2" t="str">
        <f>작업!I49</f>
        <v>mun/20220918.png</v>
      </c>
      <c r="G49" s="2">
        <f>작업!J49</f>
        <v>9</v>
      </c>
      <c r="H49" s="2">
        <f>작업!D49</f>
        <v>3</v>
      </c>
      <c r="I49" s="2">
        <f>작업!K49</f>
        <v>1</v>
      </c>
      <c r="J49" s="2" t="str">
        <f>작업!L49</f>
        <v>https://ebsi.co.kr/ebs/lms/player/retrieveLmsPlayerHtml5Simple.ebs?medUrl=https://WSTR.ebsi.co.kr/M41M2101/S20210001003/S20210001003_1M4_100030008430.mp4&amp;strStartTm=3082&amp;pType=2</v>
      </c>
    </row>
    <row r="50" spans="1:10" x14ac:dyDescent="0.3">
      <c r="A50" s="2" t="str">
        <f>작업!E50</f>
        <v>수학Ⅱ</v>
      </c>
      <c r="B50" s="2" t="str">
        <f>작업!F50</f>
        <v>2. 미분</v>
      </c>
      <c r="C50" s="2" t="str">
        <f>작업!G50</f>
        <v>I. 도함수</v>
      </c>
      <c r="D50" s="2" t="str">
        <f>작업!H50</f>
        <v>미분계수와 도함수</v>
      </c>
      <c r="E50" s="2" t="str">
        <f>작업!C50&amp;"("&amp;VLOOKUP(작업!D50,작업!$N$2:$O$6,2,0)&amp;")"</f>
        <v>20220919(♥♥♥)</v>
      </c>
      <c r="F50" s="2" t="str">
        <f>작업!I50</f>
        <v>mun/20220919.png</v>
      </c>
      <c r="G50" s="2">
        <f>작업!J50</f>
        <v>11</v>
      </c>
      <c r="H50" s="2">
        <f>작업!D50</f>
        <v>3</v>
      </c>
      <c r="I50" s="2">
        <f>작업!K50</f>
        <v>1</v>
      </c>
      <c r="J50" s="2" t="str">
        <f>작업!L50</f>
        <v>https://ebsi.co.kr/ebs/lms/player/retrieveLmsPlayerHtml5Simple.ebs?medUrl=https://WSTR.ebsi.co.kr/M41M2101/S20210001003/S20210001003_1M4_100030008431.mp4&amp;strStartTm=2499&amp;pType=2</v>
      </c>
    </row>
    <row r="51" spans="1:10" x14ac:dyDescent="0.3">
      <c r="A51" s="2" t="str">
        <f>작업!E51</f>
        <v>수학Ⅱ</v>
      </c>
      <c r="B51" s="2" t="str">
        <f>작업!F51</f>
        <v>2. 미분</v>
      </c>
      <c r="C51" s="2" t="str">
        <f>작업!G51</f>
        <v>J. 도함수의 활용</v>
      </c>
      <c r="D51" s="2" t="str">
        <f>작업!H51</f>
        <v>방정식과 부등식에의 활용</v>
      </c>
      <c r="E51" s="2" t="str">
        <f>작업!C51&amp;"("&amp;VLOOKUP(작업!D51,작업!$N$2:$O$6,2,0)&amp;")"</f>
        <v>20220920(♥♥♥♥)</v>
      </c>
      <c r="F51" s="2" t="str">
        <f>작업!I51</f>
        <v>mun/20220920.png</v>
      </c>
      <c r="G51" s="2">
        <f>작업!J51</f>
        <v>21</v>
      </c>
      <c r="H51" s="2">
        <f>작업!D51</f>
        <v>4</v>
      </c>
      <c r="I51" s="2">
        <f>작업!K51</f>
        <v>1</v>
      </c>
      <c r="J51" s="2" t="str">
        <f>작업!L51</f>
        <v>https://ebsi.co.kr/ebs/lms/player/retrieveLmsPlayerHtml5Simple.ebs?medUrl=https://WSTR.ebsi.co.kr/M41M2101/S20210001003/S20210001003_1M4_100030008431.mp4&amp;strStartTm=2729&amp;pType=2</v>
      </c>
    </row>
    <row r="52" spans="1:10" x14ac:dyDescent="0.3">
      <c r="A52" s="2" t="str">
        <f>작업!E52</f>
        <v>수학Ⅰ</v>
      </c>
      <c r="B52" s="2" t="str">
        <f>작업!F52</f>
        <v>1. 지수함수와 로그함수</v>
      </c>
      <c r="C52" s="2" t="str">
        <f>작업!G52</f>
        <v>B. 지수함수와 로그함수</v>
      </c>
      <c r="D52" s="2" t="str">
        <f>작업!H52</f>
        <v>그래프에서 도형의 성질</v>
      </c>
      <c r="E52" s="2" t="str">
        <f>작업!C52&amp;"("&amp;VLOOKUP(작업!D52,작업!$N$2:$O$6,2,0)&amp;")"</f>
        <v>20220921(♥♥♥♥)</v>
      </c>
      <c r="F52" s="2" t="str">
        <f>작업!I52</f>
        <v>mun/20220921.png</v>
      </c>
      <c r="G52" s="2">
        <f>작업!J52</f>
        <v>192</v>
      </c>
      <c r="H52" s="2">
        <f>작업!D52</f>
        <v>4</v>
      </c>
      <c r="I52" s="2">
        <f>작업!K52</f>
        <v>1</v>
      </c>
      <c r="J52" s="2" t="str">
        <f>작업!L52</f>
        <v>https://ebsi.co.kr/ebs/lms/player/retrieveLmsPlayerHtml5Simple.ebs?medUrl=https://WSTR.ebsi.co.kr/M41M2101/S20210001003/S20210001003_1M4_100030008430.mp4&amp;strStartTm=3180&amp;pType=2</v>
      </c>
    </row>
    <row r="53" spans="1:10" x14ac:dyDescent="0.3">
      <c r="A53" s="2" t="str">
        <f>작업!E53</f>
        <v>수학Ⅱ</v>
      </c>
      <c r="B53" s="2" t="str">
        <f>작업!F53</f>
        <v>2. 미분</v>
      </c>
      <c r="C53" s="2" t="str">
        <f>작업!G53</f>
        <v>J. 도함수의 활용</v>
      </c>
      <c r="D53" s="2" t="str">
        <f>작업!H53</f>
        <v>함수의 추론</v>
      </c>
      <c r="E53" s="2" t="str">
        <f>작업!C53&amp;"("&amp;VLOOKUP(작업!D53,작업!$N$2:$O$6,2,0)&amp;")"</f>
        <v>20220922(♥♥♥♥♥)</v>
      </c>
      <c r="F53" s="2" t="str">
        <f>작업!I53</f>
        <v>mun/20220922.png</v>
      </c>
      <c r="G53" s="2">
        <f>작업!J53</f>
        <v>108</v>
      </c>
      <c r="H53" s="2">
        <f>작업!D53</f>
        <v>5</v>
      </c>
      <c r="I53" s="2">
        <f>작업!K53</f>
        <v>1</v>
      </c>
      <c r="J53" s="2" t="str">
        <f>작업!L53</f>
        <v>https://ebsi.co.kr/ebs/lms/player/retrieveLmsPlayerHtml5Simple.ebs?medUrl=https://WSTR.ebsi.co.kr/M41M2101/S20210001003/S20210001003_1M4_100030008431.mp4&amp;strStartTm=3287&amp;pType=2</v>
      </c>
    </row>
    <row r="54" spans="1:10" x14ac:dyDescent="0.3">
      <c r="A54" s="2" t="str">
        <f>작업!E54</f>
        <v>확률과 통계</v>
      </c>
      <c r="B54" s="2" t="str">
        <f>작업!F54</f>
        <v>2. 확률</v>
      </c>
      <c r="C54" s="2" t="str">
        <f>작업!G54</f>
        <v>O. 수학적 확률</v>
      </c>
      <c r="D54" s="2" t="str">
        <f>작업!H54</f>
        <v>수학적 확률</v>
      </c>
      <c r="E54" s="2" t="str">
        <f>작업!C54&amp;"("&amp;VLOOKUP(작업!D54,작업!$N$2:$O$6,2,0)&amp;")"</f>
        <v>20230624(♥)</v>
      </c>
      <c r="F54" s="2" t="str">
        <f>작업!I54</f>
        <v>mun/20230624.png</v>
      </c>
      <c r="G54" s="2">
        <f>작업!J54</f>
        <v>1</v>
      </c>
      <c r="H54" s="2">
        <f>작업!D54</f>
        <v>1</v>
      </c>
      <c r="I54" s="2">
        <f>작업!K54</f>
        <v>1</v>
      </c>
      <c r="J54" s="2" t="str">
        <f>작업!L54</f>
        <v>https://ebsi.co.kr/ebs/lms/player/retrieveLmsPlayerHtml5Simple.ebs?medUrl=https://WSTR.ebsi.co.kr/M41M2201/S20220000268/S20220000268_1M4_100030024244.mp4&amp;strStartTm=368&amp;pType=2</v>
      </c>
    </row>
    <row r="55" spans="1:10" x14ac:dyDescent="0.3">
      <c r="A55" s="2" t="str">
        <f>작업!E55</f>
        <v>확률과 통계</v>
      </c>
      <c r="B55" s="2" t="str">
        <f>작업!F55</f>
        <v>2. 확률</v>
      </c>
      <c r="C55" s="2" t="str">
        <f>작업!G55</f>
        <v>O. 수학적 확률</v>
      </c>
      <c r="D55" s="2" t="str">
        <f>작업!H55</f>
        <v>수학적 확률</v>
      </c>
      <c r="E55" s="2" t="str">
        <f>작업!C55&amp;"("&amp;VLOOKUP(작업!D55,작업!$N$2:$O$6,2,0)&amp;")"</f>
        <v>20230628(♥♥♥♥)</v>
      </c>
      <c r="F55" s="2" t="str">
        <f>작업!I55</f>
        <v>mun/20230628.png</v>
      </c>
      <c r="G55" s="2">
        <f>작업!J55</f>
        <v>4</v>
      </c>
      <c r="H55" s="2">
        <f>작업!D55</f>
        <v>4</v>
      </c>
      <c r="I55" s="2">
        <f>작업!K55</f>
        <v>1</v>
      </c>
      <c r="J55" s="2" t="str">
        <f>작업!L55</f>
        <v>https://ebsi.co.kr/ebs/lms/player/retrieveLmsPlayerHtml5Simple.ebs?medUrl=https://WSTR.ebsi.co.kr/M41M2201/S20220000268/S20220000268_1M4_100030024244.mp4&amp;strStartTm=1711&amp;pType=2</v>
      </c>
    </row>
    <row r="56" spans="1:10" x14ac:dyDescent="0.3">
      <c r="A56" s="2" t="str">
        <f>작업!E56</f>
        <v>확률과 통계</v>
      </c>
      <c r="B56" s="2" t="str">
        <f>작업!F56</f>
        <v>1. 경우의 수</v>
      </c>
      <c r="C56" s="2" t="str">
        <f>작업!G56</f>
        <v>N. 이항정리와 이항계수</v>
      </c>
      <c r="D56" s="2" t="str">
        <f>작업!H56</f>
        <v>전개식의 계수</v>
      </c>
      <c r="E56" s="2" t="str">
        <f>작업!C56&amp;"("&amp;VLOOKUP(작업!D56,작업!$N$2:$O$6,2,0)&amp;")"</f>
        <v>20220925(♥♥)</v>
      </c>
      <c r="F56" s="2" t="str">
        <f>작업!I56</f>
        <v>mun/20220925.png</v>
      </c>
      <c r="G56" s="2">
        <f>작업!J56</f>
        <v>2</v>
      </c>
      <c r="H56" s="2">
        <f>작업!D56</f>
        <v>2</v>
      </c>
      <c r="I56" s="2">
        <f>작업!K56</f>
        <v>1</v>
      </c>
      <c r="J56" s="2" t="str">
        <f>작업!L56</f>
        <v>https://ebsi.co.kr/ebs/lms/player/retrieveLmsPlayerHtml5Simple.ebs?medUrl=https://WSTR.ebsi.co.kr/M41M2101/S20210001003/S20210001003_1M4_100030008433.mp4&amp;strStartTm=700&amp;pType=2</v>
      </c>
    </row>
    <row r="57" spans="1:10" x14ac:dyDescent="0.3">
      <c r="A57" s="2" t="str">
        <f>작업!E57</f>
        <v>확률과 통계</v>
      </c>
      <c r="B57" s="2" t="str">
        <f>작업!F57</f>
        <v>2. 확률</v>
      </c>
      <c r="C57" s="2" t="str">
        <f>작업!G57</f>
        <v>O. 수학적 확률</v>
      </c>
      <c r="D57" s="2" t="str">
        <f>작업!H57</f>
        <v>수학적 확률</v>
      </c>
      <c r="E57" s="2" t="str">
        <f>작업!C57&amp;"("&amp;VLOOKUP(작업!D57,작업!$N$2:$O$6,2,0)&amp;")"</f>
        <v>20230928(♥♥♥♥)</v>
      </c>
      <c r="F57" s="2" t="str">
        <f>작업!I57</f>
        <v>mun/20230928.png</v>
      </c>
      <c r="G57" s="2">
        <f>작업!J57</f>
        <v>3</v>
      </c>
      <c r="H57" s="2">
        <f>작업!D57</f>
        <v>4</v>
      </c>
      <c r="I57" s="2">
        <f>작업!K57</f>
        <v>1</v>
      </c>
      <c r="J57" s="2" t="str">
        <f>작업!L57</f>
        <v>https://ebsi.co.kr/ebs/lms/player/retrieveLmsPlayerHtml5Simple.ebs?medUrl=https://WSTR.ebsi.co.kr/M41M2201/S20220000415/S20220000415_1M4_100030027368.mp4&amp;strStartTm=1998&amp;pType=2</v>
      </c>
    </row>
    <row r="58" spans="1:10" x14ac:dyDescent="0.3">
      <c r="A58" s="2" t="str">
        <f>작업!E58</f>
        <v>확률과 통계</v>
      </c>
      <c r="B58" s="2" t="str">
        <f>작업!F58</f>
        <v>2. 확률</v>
      </c>
      <c r="C58" s="2" t="str">
        <f>작업!G58</f>
        <v>O. 수학적 확률</v>
      </c>
      <c r="D58" s="2" t="str">
        <f>작업!H58</f>
        <v>수학적 확률</v>
      </c>
      <c r="E58" s="2" t="str">
        <f>작업!C58&amp;"("&amp;VLOOKUP(작업!D58,작업!$N$2:$O$6,2,0)&amp;")"</f>
        <v>20231125(♥♥)</v>
      </c>
      <c r="F58" s="2" t="str">
        <f>작업!I58</f>
        <v>mun/20231125.png</v>
      </c>
      <c r="G58" s="2">
        <f>작업!J58</f>
        <v>5</v>
      </c>
      <c r="H58" s="2">
        <f>작업!D58</f>
        <v>2</v>
      </c>
      <c r="I58" s="2">
        <f>작업!K58</f>
        <v>1</v>
      </c>
      <c r="J58" s="2" t="str">
        <f>작업!L58</f>
        <v>https://ebsi.co.kr/ebs/lms/player/retrieveLmsPlayerHtml5Simple.ebs?medUrl=https://WSTR.ebsi.co.kr/M41M2201/S20220000620/S20220000620_1M4_100030028822.mp4&amp;strStartTm=561&amp;pType=2</v>
      </c>
    </row>
    <row r="59" spans="1:10" x14ac:dyDescent="0.3">
      <c r="A59" s="2" t="str">
        <f>작업!E59</f>
        <v>확률과 통계</v>
      </c>
      <c r="B59" s="2" t="str">
        <f>작업!F59</f>
        <v>1. 경우의 수</v>
      </c>
      <c r="C59" s="2" t="str">
        <f>작업!G59</f>
        <v>M. 여러 가지 순열과 중복 조합</v>
      </c>
      <c r="D59" s="2" t="str">
        <f>작업!H59</f>
        <v>중복 순열</v>
      </c>
      <c r="E59" s="2" t="str">
        <f>작업!C59&amp;"("&amp;VLOOKUP(작업!D59,작업!$N$2:$O$6,2,0)&amp;")"</f>
        <v>20220928(♥♥♥♥)</v>
      </c>
      <c r="F59" s="2" t="str">
        <f>작업!I59</f>
        <v>mun/20220928.png</v>
      </c>
      <c r="G59" s="2">
        <f>작업!J59</f>
        <v>4</v>
      </c>
      <c r="H59" s="2">
        <f>작업!D59</f>
        <v>4</v>
      </c>
      <c r="I59" s="2">
        <f>작업!K59</f>
        <v>1</v>
      </c>
      <c r="J59" s="2" t="str">
        <f>작업!L59</f>
        <v>https://ebsi.co.kr/ebs/lms/player/retrieveLmsPlayerHtml5Simple.ebs?medUrl=https://WSTR.ebsi.co.kr/M41M2101/S20210001003/S20210001003_1M4_100030008433.mp4&amp;strStartTm=1831&amp;pType=2</v>
      </c>
    </row>
    <row r="60" spans="1:10" x14ac:dyDescent="0.3">
      <c r="A60" s="2" t="str">
        <f>작업!E60</f>
        <v>확률과 통계</v>
      </c>
      <c r="B60" s="2" t="str">
        <f>작업!F60</f>
        <v>2. 확률</v>
      </c>
      <c r="C60" s="2" t="str">
        <f>작업!G60</f>
        <v>O. 수학적 확률</v>
      </c>
      <c r="D60" s="2" t="str">
        <f>작업!H60</f>
        <v>수학적 확률</v>
      </c>
      <c r="E60" s="2" t="str">
        <f>작업!C60&amp;"("&amp;VLOOKUP(작업!D60,작업!$N$2:$O$6,2,0)&amp;")"</f>
        <v>20231126(♥♥)</v>
      </c>
      <c r="F60" s="2" t="str">
        <f>작업!I60</f>
        <v>mun/20231126.png</v>
      </c>
      <c r="G60" s="2">
        <f>작업!J60</f>
        <v>3</v>
      </c>
      <c r="H60" s="2">
        <f>작업!D60</f>
        <v>2</v>
      </c>
      <c r="I60" s="2">
        <f>작업!K60</f>
        <v>1</v>
      </c>
      <c r="J60" s="2" t="str">
        <f>작업!L60</f>
        <v>https://ebsi.co.kr/ebs/lms/player/retrieveLmsPlayerHtml5Simple.ebs?medUrl=https://WSTR.ebsi.co.kr/M41M2201/S20220000620/S20220000620_1M4_100030028822.mp4&amp;strStartTm=820&amp;pType=2</v>
      </c>
    </row>
    <row r="61" spans="1:10" x14ac:dyDescent="0.3">
      <c r="A61" s="2" t="str">
        <f>작업!E61</f>
        <v>확률과 통계</v>
      </c>
      <c r="B61" s="2" t="str">
        <f>작업!F61</f>
        <v>1. 경우의 수</v>
      </c>
      <c r="C61" s="2" t="str">
        <f>작업!G61</f>
        <v>M. 여러 가지 순열과 중복 조합</v>
      </c>
      <c r="D61" s="2" t="str">
        <f>작업!H61</f>
        <v>중복 조합</v>
      </c>
      <c r="E61" s="2" t="str">
        <f>작업!C61&amp;"("&amp;VLOOKUP(작업!D61,작업!$N$2:$O$6,2,0)&amp;")"</f>
        <v>20220930(♥♥♥♥♥)</v>
      </c>
      <c r="F61" s="2" t="str">
        <f>작업!I61</f>
        <v>mun/20220930.png</v>
      </c>
      <c r="G61" s="2">
        <f>작업!J61</f>
        <v>218</v>
      </c>
      <c r="H61" s="2">
        <f>작업!D61</f>
        <v>5</v>
      </c>
      <c r="I61" s="2">
        <f>작업!K61</f>
        <v>1</v>
      </c>
      <c r="J61" s="2" t="str">
        <f>작업!L61</f>
        <v>https://ebsi.co.kr/ebs/lms/player/retrieveLmsPlayerHtml5Simple.ebs?medUrl=https://WSTR.ebsi.co.kr/M41M2101/S20210001003/S20210001003_1M4_100030008433.mp4&amp;strStartTm=2781&amp;pType=2</v>
      </c>
    </row>
    <row r="62" spans="1:10" x14ac:dyDescent="0.3">
      <c r="A62" s="2" t="str">
        <f>작업!E62</f>
        <v>수학Ⅰ</v>
      </c>
      <c r="B62" s="2" t="str">
        <f>작업!F62</f>
        <v>1. 지수함수와 로그함수</v>
      </c>
      <c r="C62" s="2" t="str">
        <f>작업!G62</f>
        <v>A. 지수와 로그</v>
      </c>
      <c r="D62" s="2" t="str">
        <f>작업!H62</f>
        <v>지수의 연산</v>
      </c>
      <c r="E62" s="2" t="str">
        <f>작업!C62&amp;"("&amp;VLOOKUP(작업!D62,작업!$N$2:$O$6,2,0)&amp;")"</f>
        <v>20221101(♥)</v>
      </c>
      <c r="F62" s="2" t="str">
        <f>작업!I62</f>
        <v>mun/20221101.png</v>
      </c>
      <c r="G62" s="2">
        <f>작업!J62</f>
        <v>2</v>
      </c>
      <c r="H62" s="2">
        <f>작업!D62</f>
        <v>1</v>
      </c>
      <c r="I62" s="2">
        <f>작업!K62</f>
        <v>1</v>
      </c>
      <c r="J62" s="2" t="str">
        <f>작업!L62</f>
        <v>https://ebsi.co.kr/ebs/lms/player/retrieveLmsPlayerHtml5Simple.ebs?medUrl=https://WSTR.ebsi.co.kr/M41M2101/S20210001189/S20210001189_1M4_100030011705.mp4&amp;strStartTm=130&amp;pType=2</v>
      </c>
    </row>
    <row r="63" spans="1:10" x14ac:dyDescent="0.3">
      <c r="A63" s="2" t="str">
        <f>작업!E63</f>
        <v>수학Ⅱ</v>
      </c>
      <c r="B63" s="2" t="str">
        <f>작업!F63</f>
        <v>2. 미분</v>
      </c>
      <c r="C63" s="2" t="str">
        <f>작업!G63</f>
        <v>I. 도함수</v>
      </c>
      <c r="D63" s="2" t="str">
        <f>작업!H63</f>
        <v>미분계수와 도함수</v>
      </c>
      <c r="E63" s="2" t="str">
        <f>작업!C63&amp;"("&amp;VLOOKUP(작업!D63,작업!$N$2:$O$6,2,0)&amp;")"</f>
        <v>20221102(♥)</v>
      </c>
      <c r="F63" s="2" t="str">
        <f>작업!I63</f>
        <v>mun/20221102.png</v>
      </c>
      <c r="G63" s="2">
        <f>작업!J63</f>
        <v>5</v>
      </c>
      <c r="H63" s="2">
        <f>작업!D63</f>
        <v>1</v>
      </c>
      <c r="I63" s="2">
        <f>작업!K63</f>
        <v>1</v>
      </c>
      <c r="J63" s="2" t="str">
        <f>작업!L63</f>
        <v>https://ebsi.co.kr/ebs/lms/player/retrieveLmsPlayerHtml5Simple.ebs?medUrl=https://WSTR.ebsi.co.kr/M41M2101/S20210001189/S20210001189_1M4_100030011706.mp4&amp;strStartTm=359&amp;pType=2</v>
      </c>
    </row>
    <row r="64" spans="1:10" x14ac:dyDescent="0.3">
      <c r="A64" s="2" t="str">
        <f>작업!E64</f>
        <v>수학Ⅰ</v>
      </c>
      <c r="B64" s="2" t="str">
        <f>작업!F64</f>
        <v>3. 수열</v>
      </c>
      <c r="C64" s="2" t="str">
        <f>작업!G64</f>
        <v>D. 등차수열과 등비수열</v>
      </c>
      <c r="D64" s="2" t="str">
        <f>작업!H64</f>
        <v>등차수열</v>
      </c>
      <c r="E64" s="2" t="str">
        <f>작업!C64&amp;"("&amp;VLOOKUP(작업!D64,작업!$N$2:$O$6,2,0)&amp;")"</f>
        <v>20221103(♥)</v>
      </c>
      <c r="F64" s="2" t="str">
        <f>작업!I64</f>
        <v>mun/20221103.png</v>
      </c>
      <c r="G64" s="2">
        <f>작업!J64</f>
        <v>5</v>
      </c>
      <c r="H64" s="2">
        <f>작업!D64</f>
        <v>1</v>
      </c>
      <c r="I64" s="2">
        <f>작업!K64</f>
        <v>1</v>
      </c>
      <c r="J64" s="2" t="str">
        <f>작업!L64</f>
        <v>https://ebsi.co.kr/ebs/lms/player/retrieveLmsPlayerHtml5Simple.ebs?medUrl=https://WSTR.ebsi.co.kr/M41M2101/S20210001189/S20210001189_1M4_100030011705.mp4&amp;strStartTm=193&amp;pType=2</v>
      </c>
    </row>
    <row r="65" spans="1:10" x14ac:dyDescent="0.3">
      <c r="A65" s="2" t="str">
        <f>작업!E65</f>
        <v>수학Ⅱ</v>
      </c>
      <c r="B65" s="2" t="str">
        <f>작업!F65</f>
        <v>1. 함수의 극한과 연속</v>
      </c>
      <c r="C65" s="2" t="str">
        <f>작업!G65</f>
        <v>G. 함수의 극한</v>
      </c>
      <c r="D65" s="2" t="str">
        <f>작업!H65</f>
        <v>함수의 극한</v>
      </c>
      <c r="E65" s="2" t="str">
        <f>작업!C65&amp;"("&amp;VLOOKUP(작업!D65,작업!$N$2:$O$6,2,0)&amp;")"</f>
        <v>20221104(♥♥)</v>
      </c>
      <c r="F65" s="2" t="str">
        <f>작업!I65</f>
        <v>mun/20221104.png</v>
      </c>
      <c r="G65" s="2">
        <f>작업!J65</f>
        <v>4</v>
      </c>
      <c r="H65" s="2">
        <f>작업!D65</f>
        <v>2</v>
      </c>
      <c r="I65" s="2">
        <f>작업!K65</f>
        <v>1</v>
      </c>
      <c r="J65" s="2" t="str">
        <f>작업!L65</f>
        <v>https://ebsi.co.kr/ebs/lms/player/retrieveLmsPlayerHtml5Simple.ebs?medUrl=https://WSTR.ebsi.co.kr/M41M2101/S20210001189/S20210001189_1M4_100030011706.mp4&amp;strStartTm=412&amp;pType=2</v>
      </c>
    </row>
    <row r="66" spans="1:10" x14ac:dyDescent="0.3">
      <c r="A66" s="2" t="str">
        <f>작업!E66</f>
        <v>수학Ⅰ</v>
      </c>
      <c r="B66" s="2" t="str">
        <f>작업!F66</f>
        <v>3. 수열</v>
      </c>
      <c r="C66" s="2" t="str">
        <f>작업!G66</f>
        <v>F. 수학적 귀납법</v>
      </c>
      <c r="D66" s="2" t="str">
        <f>작업!H66</f>
        <v>수열의 귀납적 정의</v>
      </c>
      <c r="E66" s="2" t="str">
        <f>작업!C66&amp;"("&amp;VLOOKUP(작업!D66,작업!$N$2:$O$6,2,0)&amp;")"</f>
        <v>20221105(♥♥)</v>
      </c>
      <c r="F66" s="2" t="str">
        <f>작업!I66</f>
        <v>mun/20221105.png</v>
      </c>
      <c r="G66" s="2">
        <f>작업!J66</f>
        <v>1</v>
      </c>
      <c r="H66" s="2">
        <f>작업!D66</f>
        <v>2</v>
      </c>
      <c r="I66" s="2">
        <f>작업!K66</f>
        <v>1</v>
      </c>
      <c r="J66" s="2" t="str">
        <f>작업!L66</f>
        <v>https://ebsi.co.kr/ebs/lms/player/retrieveLmsPlayerHtml5Simple.ebs?medUrl=https://WSTR.ebsi.co.kr/M41M2101/S20210001189/S20210001189_1M4_100030011705.mp4&amp;strStartTm=278&amp;pType=2</v>
      </c>
    </row>
    <row r="67" spans="1:10" x14ac:dyDescent="0.3">
      <c r="A67" s="2" t="str">
        <f>작업!E67</f>
        <v>수학Ⅱ</v>
      </c>
      <c r="B67" s="2" t="str">
        <f>작업!F67</f>
        <v>2. 미분</v>
      </c>
      <c r="C67" s="2" t="str">
        <f>작업!G67</f>
        <v>J. 도함수의 활용</v>
      </c>
      <c r="D67" s="2" t="str">
        <f>작업!H67</f>
        <v>방정식과 부등식에의 활용</v>
      </c>
      <c r="E67" s="2" t="str">
        <f>작업!C67&amp;"("&amp;VLOOKUP(작업!D67,작업!$N$2:$O$6,2,0)&amp;")"</f>
        <v>20221106(♥♥)</v>
      </c>
      <c r="F67" s="2" t="str">
        <f>작업!I67</f>
        <v>mun/20221106.png</v>
      </c>
      <c r="G67" s="2">
        <f>작업!J67</f>
        <v>3</v>
      </c>
      <c r="H67" s="2">
        <f>작업!D67</f>
        <v>2</v>
      </c>
      <c r="I67" s="2">
        <f>작업!K67</f>
        <v>1</v>
      </c>
      <c r="J67" s="2" t="str">
        <f>작업!L67</f>
        <v>https://ebsi.co.kr/ebs/lms/player/retrieveLmsPlayerHtml5Simple.ebs?medUrl=https://WSTR.ebsi.co.kr/M41M2101/S20210001189/S20210001189_1M4_100030011706.mp4&amp;strStartTm=560&amp;pType=2</v>
      </c>
    </row>
    <row r="68" spans="1:10" x14ac:dyDescent="0.3">
      <c r="A68" s="2" t="str">
        <f>작업!E68</f>
        <v>수학Ⅰ</v>
      </c>
      <c r="B68" s="2" t="str">
        <f>작업!F68</f>
        <v>2. 삼각함수</v>
      </c>
      <c r="C68" s="2" t="str">
        <f>작업!G68</f>
        <v>C. 삼각함수</v>
      </c>
      <c r="D68" s="2" t="str">
        <f>작업!H68</f>
        <v>삼각함수의 값</v>
      </c>
      <c r="E68" s="2" t="str">
        <f>작업!C68&amp;"("&amp;VLOOKUP(작업!D68,작업!$N$2:$O$6,2,0)&amp;")"</f>
        <v>20221107(♥♥)</v>
      </c>
      <c r="F68" s="2" t="str">
        <f>작업!I68</f>
        <v>mun/20221107.png</v>
      </c>
      <c r="G68" s="2">
        <f>작업!J68</f>
        <v>1</v>
      </c>
      <c r="H68" s="2">
        <f>작업!D68</f>
        <v>2</v>
      </c>
      <c r="I68" s="2">
        <f>작업!K68</f>
        <v>1</v>
      </c>
      <c r="J68" s="2" t="str">
        <f>작업!L68</f>
        <v>https://ebsi.co.kr/ebs/lms/player/retrieveLmsPlayerHtml5Simple.ebs?medUrl=https://WSTR.ebsi.co.kr/M41M2101/S20210001189/S20210001189_1M4_100030011705.mp4&amp;strStartTm=460&amp;pType=2</v>
      </c>
    </row>
    <row r="69" spans="1:10" x14ac:dyDescent="0.3">
      <c r="A69" s="2" t="str">
        <f>작업!E69</f>
        <v>수학Ⅱ</v>
      </c>
      <c r="B69" s="2" t="str">
        <f>작업!F69</f>
        <v>3. 적분</v>
      </c>
      <c r="C69" s="2" t="str">
        <f>작업!G69</f>
        <v>L. 정적분</v>
      </c>
      <c r="D69" s="2" t="str">
        <f>작업!H69</f>
        <v>곡선 사이의 넓이</v>
      </c>
      <c r="E69" s="2" t="str">
        <f>작업!C69&amp;"("&amp;VLOOKUP(작업!D69,작업!$N$2:$O$6,2,0)&amp;")"</f>
        <v>20221108(♥♥)</v>
      </c>
      <c r="F69" s="2" t="str">
        <f>작업!I69</f>
        <v>mun/20221108.png</v>
      </c>
      <c r="G69" s="2">
        <f>작업!J69</f>
        <v>1</v>
      </c>
      <c r="H69" s="2">
        <f>작업!D69</f>
        <v>2</v>
      </c>
      <c r="I69" s="2">
        <f>작업!K69</f>
        <v>1</v>
      </c>
      <c r="J69" s="2" t="str">
        <f>작업!L69</f>
        <v>https://ebsi.co.kr/ebs/lms/player/retrieveLmsPlayerHtml5Simple.ebs?medUrl=https://WSTR.ebsi.co.kr/M41M2101/S20210001189/S20210001189_1M4_100030011706.mp4&amp;strStartTm=974&amp;pType=2</v>
      </c>
    </row>
    <row r="70" spans="1:10" x14ac:dyDescent="0.3">
      <c r="A70" s="2" t="str">
        <f>작업!E70</f>
        <v>수학Ⅰ</v>
      </c>
      <c r="B70" s="2" t="str">
        <f>작업!F70</f>
        <v>1. 지수함수와 로그함수</v>
      </c>
      <c r="C70" s="2" t="str">
        <f>작업!G70</f>
        <v>B. 지수함수와 로그함수</v>
      </c>
      <c r="D70" s="2" t="str">
        <f>작업!H70</f>
        <v>그래프에서 도형의 성질</v>
      </c>
      <c r="E70" s="2" t="str">
        <f>작업!C70&amp;"("&amp;VLOOKUP(작업!D70,작업!$N$2:$O$6,2,0)&amp;")"</f>
        <v>20221109(♥♥♥)</v>
      </c>
      <c r="F70" s="2" t="str">
        <f>작업!I70</f>
        <v>mun/20221109.png</v>
      </c>
      <c r="G70" s="2">
        <f>작업!J70</f>
        <v>4</v>
      </c>
      <c r="H70" s="2">
        <f>작업!D70</f>
        <v>3</v>
      </c>
      <c r="I70" s="2">
        <f>작업!K70</f>
        <v>1</v>
      </c>
      <c r="J70" s="2" t="str">
        <f>작업!L70</f>
        <v>https://ebsi.co.kr/ebs/lms/player/retrieveLmsPlayerHtml5Simple.ebs?medUrl=https://WSTR.ebsi.co.kr/M41M2101/S20210001189/S20210001189_1M4_100030011705.mp4&amp;strStartTm=742&amp;pType=2</v>
      </c>
    </row>
    <row r="71" spans="1:10" x14ac:dyDescent="0.3">
      <c r="A71" s="2" t="str">
        <f>작업!E71</f>
        <v>수학Ⅱ</v>
      </c>
      <c r="B71" s="2" t="str">
        <f>작업!F71</f>
        <v>2. 미분</v>
      </c>
      <c r="C71" s="2" t="str">
        <f>작업!G71</f>
        <v>J. 도함수의 활용</v>
      </c>
      <c r="D71" s="2" t="str">
        <f>작업!H71</f>
        <v>접선의 방정식</v>
      </c>
      <c r="E71" s="2" t="str">
        <f>작업!C71&amp;"("&amp;VLOOKUP(작업!D71,작업!$N$2:$O$6,2,0)&amp;")"</f>
        <v>20221110(♥♥♥)</v>
      </c>
      <c r="F71" s="2" t="str">
        <f>작업!I71</f>
        <v>mun/20221110.png</v>
      </c>
      <c r="G71" s="2">
        <f>작업!J71</f>
        <v>5</v>
      </c>
      <c r="H71" s="2">
        <f>작업!D71</f>
        <v>3</v>
      </c>
      <c r="I71" s="2">
        <f>작업!K71</f>
        <v>1</v>
      </c>
      <c r="J71" s="2" t="str">
        <f>작업!L71</f>
        <v>https://ebsi.co.kr/ebs/lms/player/retrieveLmsPlayerHtml5Simple.ebs?medUrl=https://WSTR.ebsi.co.kr/M41M2101/S20210001189/S20210001189_1M4_100030011706.mp4&amp;strStartTm=1267&amp;pType=2</v>
      </c>
    </row>
    <row r="72" spans="1:10" x14ac:dyDescent="0.3">
      <c r="A72" s="2" t="str">
        <f>작업!E72</f>
        <v>수학Ⅰ</v>
      </c>
      <c r="B72" s="2" t="str">
        <f>작업!F72</f>
        <v>2. 삼각함수</v>
      </c>
      <c r="C72" s="2" t="str">
        <f>작업!G72</f>
        <v>C. 삼각함수</v>
      </c>
      <c r="D72" s="2" t="str">
        <f>작업!H72</f>
        <v>삼각함수의 그래프</v>
      </c>
      <c r="E72" s="2" t="str">
        <f>작업!C72&amp;"("&amp;VLOOKUP(작업!D72,작업!$N$2:$O$6,2,0)&amp;")"</f>
        <v>20221111(♥♥♥)</v>
      </c>
      <c r="F72" s="2" t="str">
        <f>작업!I72</f>
        <v>mun/20221111.png</v>
      </c>
      <c r="G72" s="2">
        <f>작업!J72</f>
        <v>3</v>
      </c>
      <c r="H72" s="2">
        <f>작업!D72</f>
        <v>3</v>
      </c>
      <c r="I72" s="2">
        <f>작업!K72</f>
        <v>1</v>
      </c>
      <c r="J72" s="2" t="str">
        <f>작업!L72</f>
        <v>https://ebsi.co.kr/ebs/lms/player/retrieveLmsPlayerHtml5Simple.ebs?medUrl=https://WSTR.ebsi.co.kr/M41M2101/S20210001189/S20210001189_1M4_100030011705.mp4&amp;strStartTm=1182&amp;pType=2</v>
      </c>
    </row>
    <row r="73" spans="1:10" x14ac:dyDescent="0.3">
      <c r="A73" s="2" t="str">
        <f>작업!E73</f>
        <v>수학Ⅱ</v>
      </c>
      <c r="B73" s="2" t="str">
        <f>작업!F73</f>
        <v>1. 함수의 극한과 연속</v>
      </c>
      <c r="C73" s="2" t="str">
        <f>작업!G73</f>
        <v>H. 함수의 연속</v>
      </c>
      <c r="D73" s="2" t="str">
        <f>작업!H73</f>
        <v>조건을 만족하는 함수의 추론</v>
      </c>
      <c r="E73" s="2" t="str">
        <f>작업!C73&amp;"("&amp;VLOOKUP(작업!D73,작업!$N$2:$O$6,2,0)&amp;")"</f>
        <v>20221112(♥♥♥♥)</v>
      </c>
      <c r="F73" s="2" t="str">
        <f>작업!I73</f>
        <v>mun/20221112.png</v>
      </c>
      <c r="G73" s="2">
        <f>작업!J73</f>
        <v>3</v>
      </c>
      <c r="H73" s="2">
        <f>작업!D73</f>
        <v>4</v>
      </c>
      <c r="I73" s="2">
        <f>작업!K73</f>
        <v>1</v>
      </c>
      <c r="J73" s="2" t="str">
        <f>작업!L73</f>
        <v>https://ebsi.co.kr/ebs/lms/player/retrieveLmsPlayerHtml5Simple.ebs?medUrl=https://WSTR.ebsi.co.kr/M41M2101/S20210001189/S20210001189_1M4_100030011706.mp4&amp;strStartTm=1620&amp;pType=2</v>
      </c>
    </row>
    <row r="74" spans="1:10" x14ac:dyDescent="0.3">
      <c r="A74" s="2" t="str">
        <f>작업!E74</f>
        <v>수학Ⅰ</v>
      </c>
      <c r="B74" s="2" t="str">
        <f>작업!F74</f>
        <v>1. 지수함수와 로그함수</v>
      </c>
      <c r="C74" s="2" t="str">
        <f>작업!G74</f>
        <v>B. 지수함수와 로그함수</v>
      </c>
      <c r="D74" s="2" t="str">
        <f>작업!H74</f>
        <v>방정식과 부등식에의 활용</v>
      </c>
      <c r="E74" s="2" t="str">
        <f>작업!C74&amp;"("&amp;VLOOKUP(작업!D74,작업!$N$2:$O$6,2,0)&amp;")"</f>
        <v>20221113(♥♥♥♥)</v>
      </c>
      <c r="F74" s="2" t="str">
        <f>작업!I74</f>
        <v>mun/20221113.png</v>
      </c>
      <c r="G74" s="2">
        <f>작업!J74</f>
        <v>2</v>
      </c>
      <c r="H74" s="2">
        <f>작업!D74</f>
        <v>4</v>
      </c>
      <c r="I74" s="2">
        <f>작업!K74</f>
        <v>1</v>
      </c>
      <c r="J74" s="2" t="str">
        <f>작업!L74</f>
        <v>https://ebsi.co.kr/ebs/lms/player/retrieveLmsPlayerHtml5Simple.ebs?medUrl=https://WSTR.ebsi.co.kr/M41M2101/S20210001189/S20210001189_1M4_100030011705.mp4&amp;strStartTm=1580&amp;pType=2</v>
      </c>
    </row>
    <row r="75" spans="1:10" x14ac:dyDescent="0.3">
      <c r="A75" s="2" t="str">
        <f>작업!E75</f>
        <v>수학Ⅱ</v>
      </c>
      <c r="B75" s="2" t="str">
        <f>작업!F75</f>
        <v>3. 적분</v>
      </c>
      <c r="C75" s="2" t="str">
        <f>작업!G75</f>
        <v>L. 정적분</v>
      </c>
      <c r="D75" s="2" t="str">
        <f>작업!H75</f>
        <v>속도와 거리</v>
      </c>
      <c r="E75" s="2" t="str">
        <f>작업!C75&amp;"("&amp;VLOOKUP(작업!D75,작업!$N$2:$O$6,2,0)&amp;")"</f>
        <v>20221114(♥♥♥♥)</v>
      </c>
      <c r="F75" s="2" t="str">
        <f>작업!I75</f>
        <v>mun/20221114.png</v>
      </c>
      <c r="G75" s="2">
        <f>작업!J75</f>
        <v>3</v>
      </c>
      <c r="H75" s="2">
        <f>작업!D75</f>
        <v>4</v>
      </c>
      <c r="I75" s="2">
        <f>작업!K75</f>
        <v>1</v>
      </c>
      <c r="J75" s="2" t="str">
        <f>작업!L75</f>
        <v>https://ebsi.co.kr/ebs/lms/player/retrieveLmsPlayerHtml5Simple.ebs?medUrl=https://WSTR.ebsi.co.kr/M41M2101/S20210001189/S20210001189_1M4_100030011706.mp4&amp;strStartTm=1897&amp;pType=2</v>
      </c>
    </row>
    <row r="76" spans="1:10" x14ac:dyDescent="0.3">
      <c r="A76" s="2" t="str">
        <f>작업!E76</f>
        <v>수학Ⅰ</v>
      </c>
      <c r="B76" s="2" t="str">
        <f>작업!F76</f>
        <v>2. 삼각함수</v>
      </c>
      <c r="C76" s="2" t="str">
        <f>작업!G76</f>
        <v>C. 삼각함수</v>
      </c>
      <c r="D76" s="2" t="str">
        <f>작업!H76</f>
        <v>사인법칙과 코사인법칙</v>
      </c>
      <c r="E76" s="2" t="str">
        <f>작업!C76&amp;"("&amp;VLOOKUP(작업!D76,작업!$N$2:$O$6,2,0)&amp;")"</f>
        <v>20221115(♥♥♥♥♥)</v>
      </c>
      <c r="F76" s="2" t="str">
        <f>작업!I76</f>
        <v>mun/20221115.png</v>
      </c>
      <c r="G76" s="2">
        <f>작업!J76</f>
        <v>2</v>
      </c>
      <c r="H76" s="2">
        <f>작업!D76</f>
        <v>5</v>
      </c>
      <c r="I76" s="2">
        <f>작업!K76</f>
        <v>1</v>
      </c>
      <c r="J76" s="2" t="str">
        <f>작업!L76</f>
        <v>https://ebsi.co.kr/ebs/lms/player/retrieveLmsPlayerHtml5Simple.ebs?medUrl=https://WSTR.ebsi.co.kr/M41M2101/S20210001189/S20210001189_1M4_100030011705.mp4&amp;strStartTm=2116&amp;pType=2</v>
      </c>
    </row>
    <row r="77" spans="1:10" x14ac:dyDescent="0.3">
      <c r="A77" s="2" t="str">
        <f>작업!E77</f>
        <v>수학Ⅰ</v>
      </c>
      <c r="B77" s="2" t="str">
        <f>작업!F77</f>
        <v>1. 지수함수와 로그함수</v>
      </c>
      <c r="C77" s="2" t="str">
        <f>작업!G77</f>
        <v>A. 지수와 로그</v>
      </c>
      <c r="D77" s="2" t="str">
        <f>작업!H77</f>
        <v>로그의 연산</v>
      </c>
      <c r="E77" s="2" t="str">
        <f>작업!C77&amp;"("&amp;VLOOKUP(작업!D77,작업!$N$2:$O$6,2,0)&amp;")"</f>
        <v>20221116(♥)</v>
      </c>
      <c r="F77" s="2" t="str">
        <f>작업!I77</f>
        <v>mun/20221116.png</v>
      </c>
      <c r="G77" s="2">
        <f>작업!J77</f>
        <v>3</v>
      </c>
      <c r="H77" s="2">
        <f>작업!D77</f>
        <v>1</v>
      </c>
      <c r="I77" s="2">
        <f>작업!K77</f>
        <v>1</v>
      </c>
      <c r="J77" s="2" t="str">
        <f>작업!L77</f>
        <v>https://ebsi.co.kr/ebs/lms/player/retrieveLmsPlayerHtml5Simple.ebs?medUrl=https://WSTR.ebsi.co.kr/M41M2101/S20210001189/S20210001189_1M4_100030011705.mp4&amp;strStartTm=2888&amp;pType=2</v>
      </c>
    </row>
    <row r="78" spans="1:10" x14ac:dyDescent="0.3">
      <c r="A78" s="2" t="str">
        <f>작업!E78</f>
        <v>수학Ⅱ</v>
      </c>
      <c r="B78" s="2" t="str">
        <f>작업!F78</f>
        <v>3. 적분</v>
      </c>
      <c r="C78" s="2" t="str">
        <f>작업!G78</f>
        <v>K. 부정적분</v>
      </c>
      <c r="D78" s="2" t="str">
        <f>작업!H78</f>
        <v>부정적분</v>
      </c>
      <c r="E78" s="2" t="str">
        <f>작업!C78&amp;"("&amp;VLOOKUP(작업!D78,작업!$N$2:$O$6,2,0)&amp;")"</f>
        <v>20221117(♥)</v>
      </c>
      <c r="F78" s="2" t="str">
        <f>작업!I78</f>
        <v>mun/20221117.png</v>
      </c>
      <c r="G78" s="2">
        <f>작업!J78</f>
        <v>4</v>
      </c>
      <c r="H78" s="2">
        <f>작업!D78</f>
        <v>1</v>
      </c>
      <c r="I78" s="2">
        <f>작업!K78</f>
        <v>1</v>
      </c>
      <c r="J78" s="2" t="str">
        <f>작업!L78</f>
        <v>https://ebsi.co.kr/ebs/lms/player/retrieveLmsPlayerHtml5Simple.ebs?medUrl=https://WSTR.ebsi.co.kr/M41M2101/S20210001189/S20210001189_1M4_100030011706.mp4&amp;strStartTm=2519&amp;pType=2</v>
      </c>
    </row>
    <row r="79" spans="1:10" x14ac:dyDescent="0.3">
      <c r="A79" s="2" t="str">
        <f>작업!E79</f>
        <v>수학Ⅰ</v>
      </c>
      <c r="B79" s="2" t="str">
        <f>작업!F79</f>
        <v>3. 수열</v>
      </c>
      <c r="C79" s="2" t="str">
        <f>작업!G79</f>
        <v>E. 수열의 합</v>
      </c>
      <c r="D79" s="2" t="str">
        <f>작업!H79</f>
        <v>시그마의 뜻과 성질</v>
      </c>
      <c r="E79" s="2" t="str">
        <f>작업!C79&amp;"("&amp;VLOOKUP(작업!D79,작업!$N$2:$O$6,2,0)&amp;")"</f>
        <v>20221118(♥♥♥)</v>
      </c>
      <c r="F79" s="2" t="str">
        <f>작업!I79</f>
        <v>mun/20221118.png</v>
      </c>
      <c r="G79" s="2">
        <f>작업!J79</f>
        <v>12</v>
      </c>
      <c r="H79" s="2">
        <f>작업!D79</f>
        <v>3</v>
      </c>
      <c r="I79" s="2">
        <f>작업!K79</f>
        <v>1</v>
      </c>
      <c r="J79" s="2" t="str">
        <f>작업!L79</f>
        <v>https://ebsi.co.kr/ebs/lms/player/retrieveLmsPlayerHtml5Simple.ebs?medUrl=https://WSTR.ebsi.co.kr/M41M2101/S20210001189/S20210001189_1M4_100030011705.mp4&amp;strStartTm=2948&amp;pType=2</v>
      </c>
    </row>
    <row r="80" spans="1:10" x14ac:dyDescent="0.3">
      <c r="A80" s="2" t="str">
        <f>작업!E80</f>
        <v>수학Ⅱ</v>
      </c>
      <c r="B80" s="2" t="str">
        <f>작업!F80</f>
        <v>2. 미분</v>
      </c>
      <c r="C80" s="2" t="str">
        <f>작업!G80</f>
        <v>J. 도함수의 활용</v>
      </c>
      <c r="D80" s="2" t="str">
        <f>작업!H80</f>
        <v>그래프의 개형</v>
      </c>
      <c r="E80" s="2" t="str">
        <f>작업!C80&amp;"("&amp;VLOOKUP(작업!D80,작업!$N$2:$O$6,2,0)&amp;")"</f>
        <v>20221119(♥♥♥)</v>
      </c>
      <c r="F80" s="2" t="str">
        <f>작업!I80</f>
        <v>mun/20221119.png</v>
      </c>
      <c r="G80" s="2">
        <f>작업!J80</f>
        <v>6</v>
      </c>
      <c r="H80" s="2">
        <f>작업!D80</f>
        <v>3</v>
      </c>
      <c r="I80" s="2">
        <f>작업!K80</f>
        <v>1</v>
      </c>
      <c r="J80" s="2" t="str">
        <f>작업!L80</f>
        <v>https://ebsi.co.kr/ebs/lms/player/retrieveLmsPlayerHtml5Simple.ebs?medUrl=https://WSTR.ebsi.co.kr/M41M2101/S20210001189/S20210001189_1M4_100030011706.mp4&amp;strStartTm=2558&amp;pType=2</v>
      </c>
    </row>
    <row r="81" spans="1:10" x14ac:dyDescent="0.3">
      <c r="A81" s="2" t="str">
        <f>작업!E81</f>
        <v>수학Ⅱ</v>
      </c>
      <c r="B81" s="2" t="str">
        <f>작업!F81</f>
        <v>3. 적분</v>
      </c>
      <c r="C81" s="2" t="str">
        <f>작업!G81</f>
        <v>L. 정적분</v>
      </c>
      <c r="D81" s="2" t="str">
        <f>작업!H81</f>
        <v>정적분</v>
      </c>
      <c r="E81" s="2" t="str">
        <f>작업!C81&amp;"("&amp;VLOOKUP(작업!D81,작업!$N$2:$O$6,2,0)&amp;")"</f>
        <v>20221120(♥♥♥♥)</v>
      </c>
      <c r="F81" s="2" t="str">
        <f>작업!I81</f>
        <v>mun/20221120.png</v>
      </c>
      <c r="G81" s="2">
        <f>작업!J81</f>
        <v>110</v>
      </c>
      <c r="H81" s="2">
        <f>작업!D81</f>
        <v>4</v>
      </c>
      <c r="I81" s="2">
        <f>작업!K81</f>
        <v>1</v>
      </c>
      <c r="J81" s="2" t="str">
        <f>작업!L81</f>
        <v>https://ebsi.co.kr/ebs/lms/player/retrieveLmsPlayerHtml5Simple.ebs?medUrl=https://WSTR.ebsi.co.kr/M41M2101/S20210001189/S20210001189_1M4_100030011706.mp4&amp;strStartTm=2728&amp;pType=2</v>
      </c>
    </row>
    <row r="82" spans="1:10" x14ac:dyDescent="0.3">
      <c r="A82" s="2" t="str">
        <f>작업!E82</f>
        <v>수학Ⅰ</v>
      </c>
      <c r="B82" s="2" t="str">
        <f>작업!F82</f>
        <v>3. 수열</v>
      </c>
      <c r="C82" s="2" t="str">
        <f>작업!G82</f>
        <v>E. 수열의 합</v>
      </c>
      <c r="D82" s="2" t="str">
        <f>작업!H82</f>
        <v>여러 가지 수열의 합</v>
      </c>
      <c r="E82" s="2" t="str">
        <f>작업!C82&amp;"("&amp;VLOOKUP(작업!D82,작업!$N$2:$O$6,2,0)&amp;")"</f>
        <v>20221121(♥♥♥♥)</v>
      </c>
      <c r="F82" s="2" t="str">
        <f>작업!I82</f>
        <v>mun/20221121.png</v>
      </c>
      <c r="G82" s="2">
        <f>작업!J82</f>
        <v>678</v>
      </c>
      <c r="H82" s="2">
        <f>작업!D82</f>
        <v>4</v>
      </c>
      <c r="I82" s="2">
        <f>작업!K82</f>
        <v>1</v>
      </c>
      <c r="J82" s="2" t="str">
        <f>작업!L82</f>
        <v>https://ebsi.co.kr/ebs/lms/player/retrieveLmsPlayerHtml5Simple.ebs?medUrl=https://WSTR.ebsi.co.kr/M41M2101/S20210001189/S20210001189_1M4_100030011705.mp4&amp;strStartTm=3096&amp;pType=2</v>
      </c>
    </row>
    <row r="83" spans="1:10" x14ac:dyDescent="0.3">
      <c r="A83" s="2" t="str">
        <f>작업!E83</f>
        <v>수학Ⅱ</v>
      </c>
      <c r="B83" s="2" t="str">
        <f>작업!F83</f>
        <v>2. 미분</v>
      </c>
      <c r="C83" s="2" t="str">
        <f>작업!G83</f>
        <v>J. 도함수의 활용</v>
      </c>
      <c r="D83" s="2" t="str">
        <f>작업!H83</f>
        <v>함수의 추론</v>
      </c>
      <c r="E83" s="2" t="str">
        <f>작업!C83&amp;"("&amp;VLOOKUP(작업!D83,작업!$N$2:$O$6,2,0)&amp;")"</f>
        <v>20221122(♥♥♥♥♥)</v>
      </c>
      <c r="F83" s="2" t="str">
        <f>작업!I83</f>
        <v>mun/20221122.png</v>
      </c>
      <c r="G83" s="2">
        <f>작업!J83</f>
        <v>9</v>
      </c>
      <c r="H83" s="2">
        <f>작업!D83</f>
        <v>5</v>
      </c>
      <c r="I83" s="2">
        <f>작업!K83</f>
        <v>1</v>
      </c>
      <c r="J83" s="2" t="str">
        <f>작업!L83</f>
        <v>https://ebsi.co.kr/ebs/lms/player/retrieveLmsPlayerHtml5Simple.ebs?medUrl=https://WSTR.ebsi.co.kr/M41M2101/S20210001189/S20210001189_1M4_100030011706.mp4&amp;strStartTm=3190&amp;pType=2</v>
      </c>
    </row>
    <row r="84" spans="1:10" x14ac:dyDescent="0.3">
      <c r="A84" s="2" t="str">
        <f>작업!E84</f>
        <v>확률과 통계</v>
      </c>
      <c r="B84" s="2" t="str">
        <f>작업!F84</f>
        <v>1. 경우의 수</v>
      </c>
      <c r="C84" s="2" t="str">
        <f>작업!G84</f>
        <v>N. 이항정리와 이항계수</v>
      </c>
      <c r="D84" s="2" t="str">
        <f>작업!H84</f>
        <v>전개식의 계수</v>
      </c>
      <c r="E84" s="2" t="str">
        <f>작업!C84&amp;"("&amp;VLOOKUP(작업!D84,작업!$N$2:$O$6,2,0)&amp;")"</f>
        <v>20221123(♥)</v>
      </c>
      <c r="F84" s="2" t="str">
        <f>작업!I84</f>
        <v>mun/20221123.png</v>
      </c>
      <c r="G84" s="2">
        <f>작업!J84</f>
        <v>4</v>
      </c>
      <c r="H84" s="2">
        <f>작업!D84</f>
        <v>1</v>
      </c>
      <c r="I84" s="2">
        <f>작업!K84</f>
        <v>1</v>
      </c>
      <c r="J84" s="2" t="str">
        <f>작업!L84</f>
        <v>https://ebsi.co.kr/ebs/lms/player/retrieveLmsPlayerHtml5Simple.ebs?medUrl=https://WSTR.ebsi.co.kr/M41M2101/S20210001189/S20210001189_1M4_100030011708.mp4&amp;strStartTm=232&amp;pType=2</v>
      </c>
    </row>
    <row r="85" spans="1:10" x14ac:dyDescent="0.3">
      <c r="A85" s="2" t="str">
        <f>작업!E85</f>
        <v>확률과 통계</v>
      </c>
      <c r="B85" s="2" t="str">
        <f>작업!F85</f>
        <v>2. 확률</v>
      </c>
      <c r="C85" s="2" t="str">
        <f>작업!G85</f>
        <v>O. 수학적 확률</v>
      </c>
      <c r="D85" s="2" t="str">
        <f>작업!H85</f>
        <v>수학적 확률</v>
      </c>
      <c r="E85" s="2" t="str">
        <f>작업!C85&amp;"("&amp;VLOOKUP(작업!D85,작업!$N$2:$O$6,2,0)&amp;")"</f>
        <v>20240624(♥)</v>
      </c>
      <c r="F85" s="2" t="str">
        <f>작업!I85</f>
        <v>mun/20240624.png</v>
      </c>
      <c r="G85" s="2">
        <f>작업!J85</f>
        <v>4</v>
      </c>
      <c r="H85" s="2">
        <f>작업!D85</f>
        <v>1</v>
      </c>
      <c r="I85" s="2">
        <f>작업!K85</f>
        <v>1</v>
      </c>
      <c r="J85" s="2" t="str">
        <f>작업!L85</f>
        <v>https://ebsi.co.kr/ebs/lms/player/retrieveLmsPlayerHtml5Simple.ebs?medUrl=https://WSTR.ebsi.co.kr/M41M2301/S20230000297/S20230000297_1M4_100030039326.mp4&amp;strStartTm=252&amp;pType=2</v>
      </c>
    </row>
    <row r="86" spans="1:10" x14ac:dyDescent="0.3">
      <c r="A86" s="2" t="str">
        <f>작업!E86</f>
        <v>확률과 통계</v>
      </c>
      <c r="B86" s="2" t="str">
        <f>작업!F86</f>
        <v>1. 경우의 수</v>
      </c>
      <c r="C86" s="2" t="str">
        <f>작업!G86</f>
        <v>M. 여러 가지 순열과 중복 조합</v>
      </c>
      <c r="D86" s="2" t="str">
        <f>작업!H86</f>
        <v>중복 조합</v>
      </c>
      <c r="E86" s="2" t="str">
        <f>작업!C86&amp;"("&amp;VLOOKUP(작업!D86,작업!$N$2:$O$6,2,0)&amp;")"</f>
        <v>20221125(♥♥)</v>
      </c>
      <c r="F86" s="2" t="str">
        <f>작업!I86</f>
        <v>mun/20221125.png</v>
      </c>
      <c r="G86" s="2">
        <f>작업!J86</f>
        <v>1</v>
      </c>
      <c r="H86" s="2">
        <f>작업!D86</f>
        <v>2</v>
      </c>
      <c r="I86" s="2">
        <f>작업!K86</f>
        <v>1</v>
      </c>
      <c r="J86" s="2" t="str">
        <f>작업!L86</f>
        <v>https://ebsi.co.kr/ebs/lms/player/retrieveLmsPlayerHtml5Simple.ebs?medUrl=https://WSTR.ebsi.co.kr/M41M2101/S20210001189/S20210001189_1M4_100030011708.mp4&amp;strStartTm=631&amp;pType=2</v>
      </c>
    </row>
    <row r="87" spans="1:10" x14ac:dyDescent="0.3">
      <c r="A87" s="2" t="str">
        <f>작업!E87</f>
        <v>확률과 통계</v>
      </c>
      <c r="B87" s="2" t="str">
        <f>작업!F87</f>
        <v>2. 확률</v>
      </c>
      <c r="C87" s="2" t="str">
        <f>작업!G87</f>
        <v>O. 수학적 확률</v>
      </c>
      <c r="D87" s="2" t="str">
        <f>작업!H87</f>
        <v>수학적 확률</v>
      </c>
      <c r="E87" s="2" t="str">
        <f>작업!C87&amp;"("&amp;VLOOKUP(작업!D87,작업!$N$2:$O$6,2,0)&amp;")"</f>
        <v>20240625(♥♥)</v>
      </c>
      <c r="F87" s="2" t="str">
        <f>작업!I87</f>
        <v>mun/20240625.png</v>
      </c>
      <c r="G87" s="2">
        <f>작업!J87</f>
        <v>3</v>
      </c>
      <c r="H87" s="2">
        <f>작업!D87</f>
        <v>2</v>
      </c>
      <c r="I87" s="2">
        <f>작업!K87</f>
        <v>1</v>
      </c>
      <c r="J87" s="2" t="str">
        <f>작업!L87</f>
        <v>https://ebsi.co.kr/ebs/lms/player/retrieveLmsPlayerHtml5Simple.ebs?medUrl=https://WSTR.ebsi.co.kr/M41M2301/S20230000297/S20230000297_1M4_100030039326.mp4&amp;strStartTm=602&amp;pType=2</v>
      </c>
    </row>
    <row r="88" spans="1:10" x14ac:dyDescent="0.3">
      <c r="A88" s="2" t="str">
        <f>작업!E88</f>
        <v>확률과 통계</v>
      </c>
      <c r="B88" s="2" t="str">
        <f>작업!F88</f>
        <v>2. 확률</v>
      </c>
      <c r="C88" s="2" t="str">
        <f>작업!G88</f>
        <v>O. 수학적 확률</v>
      </c>
      <c r="D88" s="2" t="str">
        <f>작업!H88</f>
        <v>수학적 확률</v>
      </c>
      <c r="E88" s="2" t="str">
        <f>작업!C88&amp;"("&amp;VLOOKUP(작업!D88,작업!$N$2:$O$6,2,0)&amp;")"</f>
        <v>20240630(♥♥♥♥)</v>
      </c>
      <c r="F88" s="2" t="str">
        <f>작업!I88</f>
        <v>mun/20240630.png</v>
      </c>
      <c r="G88" s="2">
        <f>작업!J88</f>
        <v>51</v>
      </c>
      <c r="H88" s="2">
        <f>작업!D88</f>
        <v>4</v>
      </c>
      <c r="I88" s="2">
        <f>작업!K88</f>
        <v>1</v>
      </c>
      <c r="J88" s="2" t="str">
        <f>작업!L88</f>
        <v>https://ebsi.co.kr/ebs/lms/player/retrieveLmsPlayerHtml5Simple.ebs?medUrl=https://WSTR.ebsi.co.kr/M41M2301/S20230000297/S20230000297_1M4_100030039326.mp4&amp;strStartTm=2822&amp;pType=2</v>
      </c>
    </row>
    <row r="89" spans="1:10" x14ac:dyDescent="0.3">
      <c r="A89" s="2" t="str">
        <f>작업!E89</f>
        <v>확률과 통계</v>
      </c>
      <c r="B89" s="2" t="str">
        <f>작업!F89</f>
        <v>1. 경우의 수</v>
      </c>
      <c r="C89" s="2" t="str">
        <f>작업!G89</f>
        <v>M. 여러 가지 순열과 중복 조합</v>
      </c>
      <c r="D89" s="2" t="str">
        <f>작업!H89</f>
        <v>중복 순열</v>
      </c>
      <c r="E89" s="2" t="str">
        <f>작업!C89&amp;"("&amp;VLOOKUP(작업!D89,작업!$N$2:$O$6,2,0)&amp;")"</f>
        <v>20221128(♥♥♥♥)</v>
      </c>
      <c r="F89" s="2" t="str">
        <f>작업!I89</f>
        <v>mun/20221128.png</v>
      </c>
      <c r="G89" s="2">
        <f>작업!J89</f>
        <v>1</v>
      </c>
      <c r="H89" s="2">
        <f>작업!D89</f>
        <v>4</v>
      </c>
      <c r="I89" s="2">
        <f>작업!K89</f>
        <v>1</v>
      </c>
      <c r="J89" s="2" t="str">
        <f>작업!L89</f>
        <v>https://ebsi.co.kr/ebs/lms/player/retrieveLmsPlayerHtml5Simple.ebs?medUrl=https://WSTR.ebsi.co.kr/M41M2101/S20210001189/S20210001189_1M4_100030011708.mp4&amp;strStartTm=2011&amp;pType=2</v>
      </c>
    </row>
    <row r="90" spans="1:10" x14ac:dyDescent="0.3">
      <c r="A90" s="2" t="str">
        <f>작업!E90</f>
        <v>확률과 통계</v>
      </c>
      <c r="B90" s="2" t="str">
        <f>작업!F90</f>
        <v>2. 확률</v>
      </c>
      <c r="C90" s="2" t="str">
        <f>작업!G90</f>
        <v>O. 수학적 확률</v>
      </c>
      <c r="D90" s="2" t="str">
        <f>작업!H90</f>
        <v>수학적 확률</v>
      </c>
      <c r="E90" s="2" t="str">
        <f>작업!C90&amp;"("&amp;VLOOKUP(작업!D90,작업!$N$2:$O$6,2,0)&amp;")"</f>
        <v>20240925(♥♥)</v>
      </c>
      <c r="F90" s="2" t="str">
        <f>작업!I90</f>
        <v>mun/20240925.png</v>
      </c>
      <c r="G90" s="2">
        <f>작업!J90</f>
        <v>3</v>
      </c>
      <c r="H90" s="2">
        <f>작업!D90</f>
        <v>2</v>
      </c>
      <c r="I90" s="2">
        <f>작업!K90</f>
        <v>1</v>
      </c>
      <c r="J90" s="2" t="str">
        <f>작업!L90</f>
        <v>https://ebsi.co.kr/ebs/lms/player/retrieveLmsPlayerHtml5Simple.ebs?medUrl=https://WSTR.ebsi.co.kr/M41M2301/S20230000491/S20230000491_1M4_100030043587.mp4&amp;strStartTm=579&amp;pType=2</v>
      </c>
    </row>
    <row r="91" spans="1:10" x14ac:dyDescent="0.3">
      <c r="A91" s="2" t="str">
        <f>작업!E91</f>
        <v>확률과 통계</v>
      </c>
      <c r="B91" s="2" t="str">
        <f>작업!F91</f>
        <v>2. 확률</v>
      </c>
      <c r="C91" s="2" t="str">
        <f>작업!G91</f>
        <v>O. 수학적 확률</v>
      </c>
      <c r="D91" s="2" t="str">
        <f>작업!H91</f>
        <v>수학적 확률</v>
      </c>
      <c r="E91" s="2" t="str">
        <f>작업!C91&amp;"("&amp;VLOOKUP(작업!D91,작업!$N$2:$O$6,2,0)&amp;")"</f>
        <v>20240927(♥♥♥)</v>
      </c>
      <c r="F91" s="2" t="str">
        <f>작업!I91</f>
        <v>mun/20240927.png</v>
      </c>
      <c r="G91" s="2">
        <f>작업!J91</f>
        <v>4</v>
      </c>
      <c r="H91" s="2">
        <f>작업!D91</f>
        <v>3</v>
      </c>
      <c r="I91" s="2">
        <f>작업!K91</f>
        <v>1</v>
      </c>
      <c r="J91" s="2" t="str">
        <f>작업!L91</f>
        <v>https://ebsi.co.kr/ebs/lms/player/retrieveLmsPlayerHtml5Simple.ebs?medUrl=https://WSTR.ebsi.co.kr/M41M2301/S20230000491/S20230000491_1M4_100030043587.mp4&amp;strStartTm=1051&amp;pType=2</v>
      </c>
    </row>
    <row r="92" spans="1:10" x14ac:dyDescent="0.3">
      <c r="A92" s="2" t="str">
        <f>작업!E92</f>
        <v>수학Ⅰ</v>
      </c>
      <c r="B92" s="2" t="str">
        <f>작업!F92</f>
        <v>1. 지수함수와 로그함수</v>
      </c>
      <c r="C92" s="2" t="str">
        <f>작업!G92</f>
        <v>A. 지수와 로그</v>
      </c>
      <c r="D92" s="2" t="str">
        <f>작업!H92</f>
        <v>지수의 연산</v>
      </c>
      <c r="E92" s="2" t="str">
        <f>작업!C92&amp;"("&amp;VLOOKUP(작업!D92,작업!$N$2:$O$6,2,0)&amp;")"</f>
        <v>20230601(♥)</v>
      </c>
      <c r="F92" s="2" t="str">
        <f>작업!I92</f>
        <v>mun/20230601.png</v>
      </c>
      <c r="G92" s="2">
        <f>작업!J92</f>
        <v>1</v>
      </c>
      <c r="H92" s="2">
        <f>작업!D92</f>
        <v>1</v>
      </c>
      <c r="I92" s="2">
        <f>작업!K92</f>
        <v>1</v>
      </c>
      <c r="J92" s="2" t="str">
        <f>작업!L92</f>
        <v>https://ebsi.co.kr/ebs/lms/player/retrieveLmsPlayerHtml5Simple.ebs?medUrl=https://WSTR.ebsi.co.kr/M41M2201/S20220000268/S20220000268_1M4_100030024242.mp4&amp;strStartTm=381&amp;pType=2</v>
      </c>
    </row>
    <row r="93" spans="1:10" x14ac:dyDescent="0.3">
      <c r="A93" s="2" t="str">
        <f>작업!E93</f>
        <v>수학Ⅱ</v>
      </c>
      <c r="B93" s="2" t="str">
        <f>작업!F93</f>
        <v>2. 미분</v>
      </c>
      <c r="C93" s="2" t="str">
        <f>작업!G93</f>
        <v>I. 도함수</v>
      </c>
      <c r="D93" s="2" t="str">
        <f>작업!H93</f>
        <v>미분계수와 도함수</v>
      </c>
      <c r="E93" s="2" t="str">
        <f>작업!C93&amp;"("&amp;VLOOKUP(작업!D93,작업!$N$2:$O$6,2,0)&amp;")"</f>
        <v>20230602(♥)</v>
      </c>
      <c r="F93" s="2" t="str">
        <f>작업!I93</f>
        <v>mun/20230602.png</v>
      </c>
      <c r="G93" s="2">
        <f>작업!J93</f>
        <v>2</v>
      </c>
      <c r="H93" s="2">
        <f>작업!D93</f>
        <v>1</v>
      </c>
      <c r="I93" s="2">
        <f>작업!K93</f>
        <v>1</v>
      </c>
      <c r="J93" s="2" t="str">
        <f>작업!L93</f>
        <v>https://ebsi.co.kr/ebs/lms/player/retrieveLmsPlayerHtml5Simple.ebs?medUrl=https://WSTR.ebsi.co.kr/M41M2201/S20220000268/S20220000268_1M4_100030024243.mp4&amp;strStartTm=252&amp;pType=2</v>
      </c>
    </row>
    <row r="94" spans="1:10" x14ac:dyDescent="0.3">
      <c r="A94" s="2" t="str">
        <f>작업!E94</f>
        <v>수학Ⅰ</v>
      </c>
      <c r="B94" s="2" t="str">
        <f>작업!F94</f>
        <v>2. 삼각함수</v>
      </c>
      <c r="C94" s="2" t="str">
        <f>작업!G94</f>
        <v>C. 삼각함수</v>
      </c>
      <c r="D94" s="2" t="str">
        <f>작업!H94</f>
        <v>삼각함수의 값</v>
      </c>
      <c r="E94" s="2" t="str">
        <f>작업!C94&amp;"("&amp;VLOOKUP(작업!D94,작업!$N$2:$O$6,2,0)&amp;")"</f>
        <v>20230603(♥)</v>
      </c>
      <c r="F94" s="2" t="str">
        <f>작업!I94</f>
        <v>mun/20230603.png</v>
      </c>
      <c r="G94" s="2">
        <f>작업!J94</f>
        <v>4</v>
      </c>
      <c r="H94" s="2">
        <f>작업!D94</f>
        <v>1</v>
      </c>
      <c r="I94" s="2">
        <f>작업!K94</f>
        <v>1</v>
      </c>
      <c r="J94" s="2" t="str">
        <f>작업!L94</f>
        <v>https://ebsi.co.kr/ebs/lms/player/retrieveLmsPlayerHtml5Simple.ebs?medUrl=https://WSTR.ebsi.co.kr/M41M2201/S20220000268/S20220000268_1M4_100030024242.mp4&amp;strStartTm=501&amp;pType=2</v>
      </c>
    </row>
    <row r="95" spans="1:10" x14ac:dyDescent="0.3">
      <c r="A95" s="2" t="str">
        <f>작업!E95</f>
        <v>수학Ⅱ</v>
      </c>
      <c r="B95" s="2" t="str">
        <f>작업!F95</f>
        <v>1. 함수의 극한과 연속</v>
      </c>
      <c r="C95" s="2" t="str">
        <f>작업!G95</f>
        <v>G. 함수의 극한</v>
      </c>
      <c r="D95" s="2" t="str">
        <f>작업!H95</f>
        <v>함수의 극한</v>
      </c>
      <c r="E95" s="2" t="str">
        <f>작업!C95&amp;"("&amp;VLOOKUP(작업!D95,작업!$N$2:$O$6,2,0)&amp;")"</f>
        <v>20230604(♥♥)</v>
      </c>
      <c r="F95" s="2" t="str">
        <f>작업!I95</f>
        <v>mun/20230604.png</v>
      </c>
      <c r="G95" s="2">
        <f>작업!J95</f>
        <v>2</v>
      </c>
      <c r="H95" s="2">
        <f>작업!D95</f>
        <v>2</v>
      </c>
      <c r="I95" s="2">
        <f>작업!K95</f>
        <v>1</v>
      </c>
      <c r="J95" s="2" t="str">
        <f>작업!L95</f>
        <v>https://ebsi.co.kr/ebs/lms/player/retrieveLmsPlayerHtml5Simple.ebs?medUrl=https://WSTR.ebsi.co.kr/M41M2201/S20220000268/S20220000268_1M4_100030024243.mp4&amp;strStartTm=304&amp;pType=2</v>
      </c>
    </row>
    <row r="96" spans="1:10" x14ac:dyDescent="0.3">
      <c r="A96" s="2" t="str">
        <f>작업!E96</f>
        <v>수학Ⅰ</v>
      </c>
      <c r="B96" s="2" t="str">
        <f>작업!F96</f>
        <v>3. 수열</v>
      </c>
      <c r="C96" s="2" t="str">
        <f>작업!G96</f>
        <v>D. 등차수열과 등비수열</v>
      </c>
      <c r="D96" s="2" t="str">
        <f>작업!H96</f>
        <v>등비수열</v>
      </c>
      <c r="E96" s="2" t="str">
        <f>작업!C96&amp;"("&amp;VLOOKUP(작업!D96,작업!$N$2:$O$6,2,0)&amp;")"</f>
        <v>20230605(♥♥)</v>
      </c>
      <c r="F96" s="2" t="str">
        <f>작업!I96</f>
        <v>mun/20230605.png</v>
      </c>
      <c r="G96" s="2">
        <f>작업!J96</f>
        <v>3</v>
      </c>
      <c r="H96" s="2">
        <f>작업!D96</f>
        <v>2</v>
      </c>
      <c r="I96" s="2">
        <f>작업!K96</f>
        <v>1</v>
      </c>
      <c r="J96" s="2" t="str">
        <f>작업!L96</f>
        <v>https://ebsi.co.kr/ebs/lms/player/retrieveLmsPlayerHtml5Simple.ebs?medUrl=https://WSTR.ebsi.co.kr/M41M2201/S20220000268/S20220000268_1M4_100030024242.mp4&amp;strStartTm=661&amp;pType=2</v>
      </c>
    </row>
    <row r="97" spans="1:10" x14ac:dyDescent="0.3">
      <c r="A97" s="2" t="str">
        <f>작업!E97</f>
        <v>수학Ⅱ</v>
      </c>
      <c r="B97" s="2" t="str">
        <f>작업!F97</f>
        <v>1. 함수의 극한과 연속</v>
      </c>
      <c r="C97" s="2" t="str">
        <f>작업!G97</f>
        <v>H. 함수의 연속</v>
      </c>
      <c r="D97" s="2" t="str">
        <f>작업!H97</f>
        <v>함수의 연속</v>
      </c>
      <c r="E97" s="2" t="str">
        <f>작업!C97&amp;"("&amp;VLOOKUP(작업!D97,작업!$N$2:$O$6,2,0)&amp;")"</f>
        <v>20230606(♥♥)</v>
      </c>
      <c r="F97" s="2" t="str">
        <f>작업!I97</f>
        <v>mun/20230606.png</v>
      </c>
      <c r="G97" s="2">
        <f>작업!J97</f>
        <v>5</v>
      </c>
      <c r="H97" s="2">
        <f>작업!D97</f>
        <v>2</v>
      </c>
      <c r="I97" s="2">
        <f>작업!K97</f>
        <v>1</v>
      </c>
      <c r="J97" s="2" t="str">
        <f>작업!L97</f>
        <v>https://ebsi.co.kr/ebs/lms/player/retrieveLmsPlayerHtml5Simple.ebs?medUrl=https://WSTR.ebsi.co.kr/M41M2201/S20220000268/S20220000268_1M4_100030024243.mp4&amp;strStartTm=346&amp;pType=2</v>
      </c>
    </row>
    <row r="98" spans="1:10" x14ac:dyDescent="0.3">
      <c r="A98" s="2" t="str">
        <f>작업!E98</f>
        <v>수학Ⅰ</v>
      </c>
      <c r="B98" s="2" t="str">
        <f>작업!F98</f>
        <v>2. 삼각함수</v>
      </c>
      <c r="C98" s="2" t="str">
        <f>작업!G98</f>
        <v>C. 삼각함수</v>
      </c>
      <c r="D98" s="2" t="str">
        <f>작업!H98</f>
        <v>함수의 최대 또는 최소</v>
      </c>
      <c r="E98" s="2" t="str">
        <f>작업!C98&amp;"("&amp;VLOOKUP(작업!D98,작업!$N$2:$O$6,2,0)&amp;")"</f>
        <v>20230607(♥♥)</v>
      </c>
      <c r="F98" s="2" t="str">
        <f>작업!I98</f>
        <v>mun/20230607.png</v>
      </c>
      <c r="G98" s="2">
        <f>작업!J98</f>
        <v>4</v>
      </c>
      <c r="H98" s="2">
        <f>작업!D98</f>
        <v>2</v>
      </c>
      <c r="I98" s="2">
        <f>작업!K98</f>
        <v>1</v>
      </c>
      <c r="J98" s="2" t="str">
        <f>작업!L98</f>
        <v>https://ebsi.co.kr/ebs/lms/player/retrieveLmsPlayerHtml5Simple.ebs?medUrl=https://WSTR.ebsi.co.kr/M41M2201/S20220000268/S20220000268_1M4_100030024242.mp4&amp;strStartTm=862&amp;pType=2</v>
      </c>
    </row>
    <row r="99" spans="1:10" x14ac:dyDescent="0.3">
      <c r="A99" s="2" t="str">
        <f>작업!E99</f>
        <v>수학Ⅱ</v>
      </c>
      <c r="B99" s="2" t="str">
        <f>작업!F99</f>
        <v>2. 미분</v>
      </c>
      <c r="C99" s="2" t="str">
        <f>작업!G99</f>
        <v>J. 도함수의 활용</v>
      </c>
      <c r="D99" s="2" t="str">
        <f>작업!H99</f>
        <v>그래프의 개형</v>
      </c>
      <c r="E99" s="2" t="str">
        <f>작업!C99&amp;"("&amp;VLOOKUP(작업!D99,작업!$N$2:$O$6,2,0)&amp;")"</f>
        <v>20230608(♥♥)</v>
      </c>
      <c r="F99" s="2" t="str">
        <f>작업!I99</f>
        <v>mun/20230608.png</v>
      </c>
      <c r="G99" s="2">
        <f>작업!J99</f>
        <v>3</v>
      </c>
      <c r="H99" s="2">
        <f>작업!D99</f>
        <v>2</v>
      </c>
      <c r="I99" s="2">
        <f>작업!K99</f>
        <v>1</v>
      </c>
      <c r="J99" s="2" t="str">
        <f>작업!L99</f>
        <v>https://ebsi.co.kr/ebs/lms/player/retrieveLmsPlayerHtml5Simple.ebs?medUrl=https://WSTR.ebsi.co.kr/M41M2201/S20220000268/S20220000268_1M4_100030024243.mp4&amp;strStartTm=600&amp;pType=2</v>
      </c>
    </row>
    <row r="100" spans="1:10" x14ac:dyDescent="0.3">
      <c r="A100" s="2" t="str">
        <f>작업!E100</f>
        <v>수학Ⅱ</v>
      </c>
      <c r="B100" s="2" t="str">
        <f>작업!F100</f>
        <v>2. 미분</v>
      </c>
      <c r="C100" s="2" t="str">
        <f>작업!G100</f>
        <v>J. 도함수의 활용</v>
      </c>
      <c r="D100" s="2" t="str">
        <f>작업!H100</f>
        <v>방정식과 부등식에의 활용</v>
      </c>
      <c r="E100" s="2" t="str">
        <f>작업!C100&amp;"("&amp;VLOOKUP(작업!D100,작업!$N$2:$O$6,2,0)&amp;")"</f>
        <v>20230609(♥♥♥)</v>
      </c>
      <c r="F100" s="2" t="str">
        <f>작업!I100</f>
        <v>mun/20230609.png</v>
      </c>
      <c r="G100" s="2">
        <f>작업!J100</f>
        <v>5</v>
      </c>
      <c r="H100" s="2">
        <f>작업!D100</f>
        <v>3</v>
      </c>
      <c r="I100" s="2">
        <f>작업!K100</f>
        <v>1</v>
      </c>
      <c r="J100" s="2" t="str">
        <f>작업!L100</f>
        <v>https://ebsi.co.kr/ebs/lms/player/retrieveLmsPlayerHtml5Simple.ebs?medUrl=https://WSTR.ebsi.co.kr/M41M2201/S20220000268/S20220000268_1M4_100030024243.mp4&amp;strStartTm=830&amp;pType=2</v>
      </c>
    </row>
    <row r="101" spans="1:10" x14ac:dyDescent="0.3">
      <c r="A101" s="2" t="str">
        <f>작업!E101</f>
        <v>수학Ⅰ</v>
      </c>
      <c r="B101" s="2" t="str">
        <f>작업!F101</f>
        <v>2. 삼각함수</v>
      </c>
      <c r="C101" s="2" t="str">
        <f>작업!G101</f>
        <v>C. 삼각함수</v>
      </c>
      <c r="D101" s="2" t="str">
        <f>작업!H101</f>
        <v>사인법칙과 코사인법칙</v>
      </c>
      <c r="E101" s="2" t="str">
        <f>작업!C101&amp;"("&amp;VLOOKUP(작업!D101,작업!$N$2:$O$6,2,0)&amp;")"</f>
        <v>20230610(♥♥♥)</v>
      </c>
      <c r="F101" s="2" t="str">
        <f>작업!I101</f>
        <v>mun/20230610.png</v>
      </c>
      <c r="G101" s="2">
        <f>작업!J101</f>
        <v>3</v>
      </c>
      <c r="H101" s="2">
        <f>작업!D101</f>
        <v>3</v>
      </c>
      <c r="I101" s="2">
        <f>작업!K101</f>
        <v>1</v>
      </c>
      <c r="J101" s="2" t="str">
        <f>작업!L101</f>
        <v>https://ebsi.co.kr/ebs/lms/player/retrieveLmsPlayerHtml5Simple.ebs?medUrl=https://WSTR.ebsi.co.kr/M41M2201/S20220000268/S20220000268_1M4_100030024242.mp4&amp;strStartTm=1108&amp;pType=2</v>
      </c>
    </row>
    <row r="102" spans="1:10" x14ac:dyDescent="0.3">
      <c r="A102" s="2" t="str">
        <f>작업!E102</f>
        <v>수학Ⅱ</v>
      </c>
      <c r="B102" s="2" t="str">
        <f>작업!F102</f>
        <v>3. 적분</v>
      </c>
      <c r="C102" s="2" t="str">
        <f>작업!G102</f>
        <v>L. 정적분</v>
      </c>
      <c r="D102" s="2" t="str">
        <f>작업!H102</f>
        <v>속도와 거리</v>
      </c>
      <c r="E102" s="2" t="str">
        <f>작업!C102&amp;"("&amp;VLOOKUP(작업!D102,작업!$N$2:$O$6,2,0)&amp;")"</f>
        <v>20230611(♥♥♥)</v>
      </c>
      <c r="F102" s="2" t="str">
        <f>작업!I102</f>
        <v>mun/20230611.png</v>
      </c>
      <c r="G102" s="2">
        <f>작업!J102</f>
        <v>5</v>
      </c>
      <c r="H102" s="2">
        <f>작업!D102</f>
        <v>3</v>
      </c>
      <c r="I102" s="2">
        <f>작업!K102</f>
        <v>1</v>
      </c>
      <c r="J102" s="2" t="str">
        <f>작업!L102</f>
        <v>https://ebsi.co.kr/ebs/lms/player/retrieveLmsPlayerHtml5Simple.ebs?medUrl=https://WSTR.ebsi.co.kr/M41M2201/S20220000268/S20220000268_1M4_100030024243.mp4&amp;strStartTm=980&amp;pType=2</v>
      </c>
    </row>
    <row r="103" spans="1:10" x14ac:dyDescent="0.3">
      <c r="A103" s="2" t="str">
        <f>작업!E103</f>
        <v>수학Ⅰ</v>
      </c>
      <c r="B103" s="2" t="str">
        <f>작업!F103</f>
        <v>3. 수열</v>
      </c>
      <c r="C103" s="2" t="str">
        <f>작업!G103</f>
        <v>D. 등차수열과 등비수열</v>
      </c>
      <c r="D103" s="2" t="str">
        <f>작업!H103</f>
        <v>등차수열</v>
      </c>
      <c r="E103" s="2" t="str">
        <f>작업!C103&amp;"("&amp;VLOOKUP(작업!D103,작업!$N$2:$O$6,2,0)&amp;")"</f>
        <v>20230612(♥♥♥♥)</v>
      </c>
      <c r="F103" s="2" t="str">
        <f>작업!I103</f>
        <v>mun/20230612.png</v>
      </c>
      <c r="G103" s="2">
        <f>작업!J103</f>
        <v>3</v>
      </c>
      <c r="H103" s="2">
        <f>작업!D103</f>
        <v>4</v>
      </c>
      <c r="I103" s="2">
        <f>작업!K103</f>
        <v>1</v>
      </c>
      <c r="J103" s="2" t="str">
        <f>작업!L103</f>
        <v>https://ebsi.co.kr/ebs/lms/player/retrieveLmsPlayerHtml5Simple.ebs?medUrl=https://WSTR.ebsi.co.kr/M41M2201/S20220000268/S20220000268_1M4_100030024242.mp4&amp;strStartTm=1913&amp;pType=2</v>
      </c>
    </row>
    <row r="104" spans="1:10" x14ac:dyDescent="0.3">
      <c r="A104" s="2" t="str">
        <f>작업!E104</f>
        <v>수학Ⅰ</v>
      </c>
      <c r="B104" s="2" t="str">
        <f>작업!F104</f>
        <v>1. 지수함수와 로그함수</v>
      </c>
      <c r="C104" s="2" t="str">
        <f>작업!G104</f>
        <v>B. 지수함수와 로그함수</v>
      </c>
      <c r="D104" s="2" t="str">
        <f>작업!H104</f>
        <v>그래프에서 도형의 성질</v>
      </c>
      <c r="E104" s="2" t="str">
        <f>작업!C104&amp;"("&amp;VLOOKUP(작업!D104,작업!$N$2:$O$6,2,0)&amp;")"</f>
        <v>20230613(♥♥♥♥)</v>
      </c>
      <c r="F104" s="2" t="str">
        <f>작업!I104</f>
        <v>mun/20230613.png</v>
      </c>
      <c r="G104" s="2">
        <f>작업!J104</f>
        <v>1</v>
      </c>
      <c r="H104" s="2">
        <f>작업!D104</f>
        <v>4</v>
      </c>
      <c r="I104" s="2">
        <f>작업!K104</f>
        <v>1</v>
      </c>
      <c r="J104" s="2" t="str">
        <f>작업!L104</f>
        <v>https://ebsi.co.kr/ebs/lms/player/retrieveLmsPlayerHtml5Simple.ebs?medUrl=https://WSTR.ebsi.co.kr/M41M2201/S20220000268/S20220000268_1M4_100030024242.mp4&amp;strStartTm=2442&amp;pType=2</v>
      </c>
    </row>
    <row r="105" spans="1:10" x14ac:dyDescent="0.3">
      <c r="A105" s="2" t="str">
        <f>작업!E105</f>
        <v>수학Ⅱ</v>
      </c>
      <c r="B105" s="2" t="str">
        <f>작업!F105</f>
        <v>2. 미분</v>
      </c>
      <c r="C105" s="2" t="str">
        <f>작업!G105</f>
        <v>J. 도함수의 활용</v>
      </c>
      <c r="D105" s="2" t="str">
        <f>작업!H105</f>
        <v>함수의 추론</v>
      </c>
      <c r="E105" s="2" t="str">
        <f>작업!C105&amp;"("&amp;VLOOKUP(작업!D105,작업!$N$2:$O$6,2,0)&amp;")"</f>
        <v>20230614(♥♥♥♥)</v>
      </c>
      <c r="F105" s="2" t="str">
        <f>작업!I105</f>
        <v>mun/20230614.png</v>
      </c>
      <c r="G105" s="2">
        <f>작업!J105</f>
        <v>4</v>
      </c>
      <c r="H105" s="2">
        <f>작업!D105</f>
        <v>4</v>
      </c>
      <c r="I105" s="2">
        <f>작업!K105</f>
        <v>1</v>
      </c>
      <c r="J105" s="2" t="str">
        <f>작업!L105</f>
        <v>https://ebsi.co.kr/ebs/lms/player/retrieveLmsPlayerHtml5Simple.ebs?medUrl=https://WSTR.ebsi.co.kr/M41M2201/S20220000268/S20220000268_1M4_100030024243.mp4&amp;strStartTm=1144&amp;pType=2</v>
      </c>
    </row>
    <row r="106" spans="1:10" x14ac:dyDescent="0.3">
      <c r="A106" s="2" t="str">
        <f>작업!E106</f>
        <v>수학Ⅰ</v>
      </c>
      <c r="B106" s="2" t="str">
        <f>작업!F106</f>
        <v>3. 수열</v>
      </c>
      <c r="C106" s="2" t="str">
        <f>작업!G106</f>
        <v>F. 수학적 귀납법</v>
      </c>
      <c r="D106" s="2" t="str">
        <f>작업!H106</f>
        <v>수열의 귀납적 정의</v>
      </c>
      <c r="E106" s="2" t="str">
        <f>작업!C106&amp;"("&amp;VLOOKUP(작업!D106,작업!$N$2:$O$6,2,0)&amp;")"</f>
        <v>20230615(♥♥♥♥♥)</v>
      </c>
      <c r="F106" s="2" t="str">
        <f>작업!I106</f>
        <v>mun/20230615.png</v>
      </c>
      <c r="G106" s="2">
        <f>작업!J106</f>
        <v>2</v>
      </c>
      <c r="H106" s="2">
        <f>작업!D106</f>
        <v>5</v>
      </c>
      <c r="I106" s="2">
        <f>작업!K106</f>
        <v>1</v>
      </c>
      <c r="J106" s="2" t="str">
        <f>작업!L106</f>
        <v>https://ebsi.co.kr/ebs/lms/player/retrieveLmsPlayerHtml5Simple.ebs?medUrl=https://WSTR.ebsi.co.kr/M41M2201/S20220000268/S20220000268_1M4_100030024242.mp4&amp;strStartTm=2758&amp;pType=2</v>
      </c>
    </row>
    <row r="107" spans="1:10" x14ac:dyDescent="0.3">
      <c r="A107" s="2" t="str">
        <f>작업!E107</f>
        <v>수학Ⅰ</v>
      </c>
      <c r="B107" s="2" t="str">
        <f>작업!F107</f>
        <v>1. 지수함수와 로그함수</v>
      </c>
      <c r="C107" s="2" t="str">
        <f>작업!G107</f>
        <v>B. 지수함수와 로그함수</v>
      </c>
      <c r="D107" s="2" t="str">
        <f>작업!H107</f>
        <v>방정식과 부등식에의 활용</v>
      </c>
      <c r="E107" s="2" t="str">
        <f>작업!C107&amp;"("&amp;VLOOKUP(작업!D107,작업!$N$2:$O$6,2,0)&amp;")"</f>
        <v>20230616(♥)</v>
      </c>
      <c r="F107" s="2" t="str">
        <f>작업!I107</f>
        <v>mun/20230616.png</v>
      </c>
      <c r="G107" s="2">
        <f>작업!J107</f>
        <v>6</v>
      </c>
      <c r="H107" s="2">
        <f>작업!D107</f>
        <v>1</v>
      </c>
      <c r="I107" s="2">
        <f>작업!K107</f>
        <v>1</v>
      </c>
      <c r="J107" s="2" t="str">
        <f>작업!L107</f>
        <v>https://ebsi.co.kr/ebs/lms/player/retrieveLmsPlayerHtml5Simple.ebs?medUrl=https://WSTR.ebsi.co.kr/M41M2201/S20220000268/S20220000268_1M4_100030024242.mp4&amp;strStartTm=3332&amp;pType=2</v>
      </c>
    </row>
    <row r="108" spans="1:10" x14ac:dyDescent="0.3">
      <c r="A108" s="2" t="str">
        <f>작업!E108</f>
        <v>수학Ⅱ</v>
      </c>
      <c r="B108" s="2" t="str">
        <f>작업!F108</f>
        <v>3. 적분</v>
      </c>
      <c r="C108" s="2" t="str">
        <f>작업!G108</f>
        <v>K. 부정적분</v>
      </c>
      <c r="D108" s="2" t="str">
        <f>작업!H108</f>
        <v>부정적분</v>
      </c>
      <c r="E108" s="2" t="str">
        <f>작업!C108&amp;"("&amp;VLOOKUP(작업!D108,작업!$N$2:$O$6,2,0)&amp;")"</f>
        <v>20230617(♥)</v>
      </c>
      <c r="F108" s="2" t="str">
        <f>작업!I108</f>
        <v>mun/20230617.png</v>
      </c>
      <c r="G108" s="2">
        <f>작업!J108</f>
        <v>15</v>
      </c>
      <c r="H108" s="2">
        <f>작업!D108</f>
        <v>1</v>
      </c>
      <c r="I108" s="2">
        <f>작업!K108</f>
        <v>1</v>
      </c>
      <c r="J108" s="2" t="str">
        <f>작업!L108</f>
        <v>https://ebsi.co.kr/ebs/lms/player/retrieveLmsPlayerHtml5Simple.ebs?medUrl=https://WSTR.ebsi.co.kr/M41M2201/S20220000268/S20220000268_1M4_100030024243.mp4&amp;strStartTm=2058&amp;pType=2</v>
      </c>
    </row>
    <row r="109" spans="1:10" x14ac:dyDescent="0.3">
      <c r="A109" s="2" t="str">
        <f>작업!E109</f>
        <v>수학Ⅰ</v>
      </c>
      <c r="B109" s="2" t="str">
        <f>작업!F109</f>
        <v>3. 수열</v>
      </c>
      <c r="C109" s="2" t="str">
        <f>작업!G109</f>
        <v>E. 수열의 합</v>
      </c>
      <c r="D109" s="2" t="str">
        <f>작업!H109</f>
        <v>시그마의 뜻과 성질</v>
      </c>
      <c r="E109" s="2" t="str">
        <f>작업!C109&amp;"("&amp;VLOOKUP(작업!D109,작업!$N$2:$O$6,2,0)&amp;")"</f>
        <v>20230618(♥♥♥)</v>
      </c>
      <c r="F109" s="2" t="str">
        <f>작업!I109</f>
        <v>mun/20230618.png</v>
      </c>
      <c r="G109" s="2">
        <f>작업!J109</f>
        <v>3</v>
      </c>
      <c r="H109" s="2">
        <f>작업!D109</f>
        <v>3</v>
      </c>
      <c r="I109" s="2">
        <f>작업!K109</f>
        <v>1</v>
      </c>
      <c r="J109" s="2" t="str">
        <f>작업!L109</f>
        <v>https://ebsi.co.kr/ebs/lms/player/retrieveLmsPlayerHtml5Simple.ebs?medUrl=https://WSTR.ebsi.co.kr/M41M2201/S20220000268/S20220000268_1M4_100030024242.mp4&amp;strStartTm=3413&amp;pType=2</v>
      </c>
    </row>
    <row r="110" spans="1:10" x14ac:dyDescent="0.3">
      <c r="A110" s="2" t="str">
        <f>작업!E110</f>
        <v>수학Ⅱ</v>
      </c>
      <c r="B110" s="2" t="str">
        <f>작업!F110</f>
        <v>2. 미분</v>
      </c>
      <c r="C110" s="2" t="str">
        <f>작업!G110</f>
        <v>J. 도함수의 활용</v>
      </c>
      <c r="D110" s="2" t="str">
        <f>작업!H110</f>
        <v>극대와 극소</v>
      </c>
      <c r="E110" s="2" t="str">
        <f>작업!C110&amp;"("&amp;VLOOKUP(작업!D110,작업!$N$2:$O$6,2,0)&amp;")"</f>
        <v>20230619(♥♥♥)</v>
      </c>
      <c r="F110" s="2" t="str">
        <f>작업!I110</f>
        <v>mun/20230619.png</v>
      </c>
      <c r="G110" s="2">
        <f>작업!J110</f>
        <v>2</v>
      </c>
      <c r="H110" s="2">
        <f>작업!D110</f>
        <v>3</v>
      </c>
      <c r="I110" s="2">
        <f>작업!K110</f>
        <v>1</v>
      </c>
      <c r="J110" s="2" t="str">
        <f>작업!L110</f>
        <v>https://ebsi.co.kr/ebs/lms/player/retrieveLmsPlayerHtml5Simple.ebs?medUrl=https://WSTR.ebsi.co.kr/M41M2201/S20220000268/S20220000268_1M4_100030024243.mp4&amp;strStartTm=2099&amp;pType=2</v>
      </c>
    </row>
    <row r="111" spans="1:10" x14ac:dyDescent="0.3">
      <c r="A111" s="2" t="str">
        <f>작업!E111</f>
        <v>수학Ⅱ</v>
      </c>
      <c r="B111" s="2" t="str">
        <f>작업!F111</f>
        <v>3. 적분</v>
      </c>
      <c r="C111" s="2" t="str">
        <f>작업!G111</f>
        <v>L. 정적분</v>
      </c>
      <c r="D111" s="2" t="str">
        <f>작업!H111</f>
        <v>미적분학의 기본 정리</v>
      </c>
      <c r="E111" s="2" t="str">
        <f>작업!C111&amp;"("&amp;VLOOKUP(작업!D111,작업!$N$2:$O$6,2,0)&amp;")"</f>
        <v>20230620(♥♥♥♥)</v>
      </c>
      <c r="F111" s="2" t="str">
        <f>작업!I111</f>
        <v>mun/20230620.png</v>
      </c>
      <c r="G111" s="2">
        <f>작업!J111</f>
        <v>13</v>
      </c>
      <c r="H111" s="2">
        <f>작업!D111</f>
        <v>4</v>
      </c>
      <c r="I111" s="2">
        <f>작업!K111</f>
        <v>1</v>
      </c>
      <c r="J111" s="2" t="str">
        <f>작업!L111</f>
        <v>https://ebsi.co.kr/ebs/lms/player/retrieveLmsPlayerHtml5Simple.ebs?medUrl=https://WSTR.ebsi.co.kr/M41M2201/S20220000268/S20220000268_1M4_100030024243.mp4&amp;strStartTm=2225&amp;pType=2</v>
      </c>
    </row>
    <row r="112" spans="1:10" x14ac:dyDescent="0.3">
      <c r="A112" s="2" t="str">
        <f>작업!E112</f>
        <v>수학Ⅰ</v>
      </c>
      <c r="B112" s="2" t="str">
        <f>작업!F112</f>
        <v>1. 지수함수와 로그함수</v>
      </c>
      <c r="C112" s="2" t="str">
        <f>작업!G112</f>
        <v>B. 지수함수와 로그함수</v>
      </c>
      <c r="D112" s="2" t="str">
        <f>작업!H112</f>
        <v>지수, 로그가 정수가 되기 위한 조건</v>
      </c>
      <c r="E112" s="2" t="str">
        <f>작업!C112&amp;"("&amp;VLOOKUP(작업!D112,작업!$N$2:$O$6,2,0)&amp;")"</f>
        <v>20230621(♥♥♥♥)</v>
      </c>
      <c r="F112" s="2" t="str">
        <f>작업!I112</f>
        <v>mun/20230621.png</v>
      </c>
      <c r="G112" s="2">
        <f>작업!J112</f>
        <v>426</v>
      </c>
      <c r="H112" s="2">
        <f>작업!D112</f>
        <v>4</v>
      </c>
      <c r="I112" s="2">
        <f>작업!K112</f>
        <v>1</v>
      </c>
      <c r="J112" s="2" t="str">
        <f>작업!L112</f>
        <v>https://ebsi.co.kr/ebs/lms/player/retrieveLmsPlayerHtml5Simple.ebs?medUrl=https://WSTR.ebsi.co.kr/M41M2201/S20220000268/S20220000268_1M4_100030024242.mp4&amp;strStartTm=3494&amp;pType=2</v>
      </c>
    </row>
    <row r="113" spans="1:10" x14ac:dyDescent="0.3">
      <c r="A113" s="2" t="str">
        <f>작업!E113</f>
        <v>수학Ⅱ</v>
      </c>
      <c r="B113" s="2" t="str">
        <f>작업!F113</f>
        <v>2. 미분</v>
      </c>
      <c r="C113" s="2" t="str">
        <f>작업!G113</f>
        <v>J. 도함수의 활용</v>
      </c>
      <c r="D113" s="2" t="str">
        <f>작업!H113</f>
        <v>함수의 추론</v>
      </c>
      <c r="E113" s="2" t="str">
        <f>작업!C113&amp;"("&amp;VLOOKUP(작업!D113,작업!$N$2:$O$6,2,0)&amp;")"</f>
        <v>20230622(♥♥♥♥♥)</v>
      </c>
      <c r="F113" s="2" t="str">
        <f>작업!I113</f>
        <v>mun/20230622.png</v>
      </c>
      <c r="G113" s="2">
        <f>작업!J113</f>
        <v>19</v>
      </c>
      <c r="H113" s="2">
        <f>작업!D113</f>
        <v>5</v>
      </c>
      <c r="I113" s="2">
        <f>작업!K113</f>
        <v>1</v>
      </c>
      <c r="J113" s="2" t="str">
        <f>작업!L113</f>
        <v>https://ebsi.co.kr/ebs/lms/player/retrieveLmsPlayerHtml5Simple.ebs?medUrl=https://WSTR.ebsi.co.kr/M41M2201/S20220000268/S20220000268_1M4_100030024243.mp4&amp;strStartTm=3213&amp;pType=2</v>
      </c>
    </row>
    <row r="114" spans="1:10" x14ac:dyDescent="0.3">
      <c r="A114" s="2" t="str">
        <f>작업!E114</f>
        <v>확률과 통계</v>
      </c>
      <c r="B114" s="2" t="str">
        <f>작업!F114</f>
        <v>1. 경우의 수</v>
      </c>
      <c r="C114" s="2" t="str">
        <f>작업!G114</f>
        <v>M. 여러 가지 순열과 중복 조합</v>
      </c>
      <c r="D114" s="2" t="str">
        <f>작업!H114</f>
        <v>같은 것이 있는 순열</v>
      </c>
      <c r="E114" s="2" t="str">
        <f>작업!C114&amp;"("&amp;VLOOKUP(작업!D114,작업!$N$2:$O$6,2,0)&amp;")"</f>
        <v>20230623(♥)</v>
      </c>
      <c r="F114" s="2" t="str">
        <f>작업!I114</f>
        <v>mun/20230623.png</v>
      </c>
      <c r="G114" s="2">
        <f>작업!J114</f>
        <v>2</v>
      </c>
      <c r="H114" s="2">
        <f>작업!D114</f>
        <v>1</v>
      </c>
      <c r="I114" s="2">
        <f>작업!K114</f>
        <v>1</v>
      </c>
      <c r="J114" s="2" t="str">
        <f>작업!L114</f>
        <v>https://ebsi.co.kr/ebs/lms/player/retrieveLmsPlayerHtml5Simple.ebs?medUrl=https://WSTR.ebsi.co.kr/M41M2201/S20220000268/S20220000268_1M4_100030024244.mp4&amp;strStartTm=199&amp;pType=2</v>
      </c>
    </row>
    <row r="115" spans="1:10" x14ac:dyDescent="0.3">
      <c r="A115" s="2" t="str">
        <f>작업!E115</f>
        <v>확률과 통계</v>
      </c>
      <c r="B115" s="2" t="str">
        <f>작업!F115</f>
        <v>2. 확률</v>
      </c>
      <c r="C115" s="2" t="str">
        <f>작업!G115</f>
        <v>O. 수학적 확률</v>
      </c>
      <c r="D115" s="2" t="str">
        <f>작업!H115</f>
        <v>수학적 확률</v>
      </c>
      <c r="E115" s="2" t="str">
        <f>작업!C115&amp;"("&amp;VLOOKUP(작업!D115,작업!$N$2:$O$6,2,0)&amp;")"</f>
        <v>20241125(♥♥)</v>
      </c>
      <c r="F115" s="2" t="str">
        <f>작업!I115</f>
        <v>mun/20241125.png</v>
      </c>
      <c r="G115" s="2">
        <f>작업!J115</f>
        <v>5</v>
      </c>
      <c r="H115" s="2">
        <f>작업!D115</f>
        <v>2</v>
      </c>
      <c r="I115" s="2">
        <f>작업!K115</f>
        <v>1</v>
      </c>
      <c r="J115" s="2" t="str">
        <f>작업!L115</f>
        <v>https://ebsi.co.kr/ebs/lms/player/retrieveLmsPlayerHtml5Simple.ebs?medUrl=https://WSTR.ebsi.co.kr/M41M2301/S20230000616/S20230000616_1M4_100030044876.mp4&amp;strStartTm=430&amp;pType=2</v>
      </c>
    </row>
    <row r="116" spans="1:10" x14ac:dyDescent="0.3">
      <c r="A116" s="2" t="str">
        <f>작업!E116</f>
        <v>확률과 통계</v>
      </c>
      <c r="B116" s="2" t="str">
        <f>작업!F116</f>
        <v>2. 확률</v>
      </c>
      <c r="C116" s="2" t="str">
        <f>작업!G116</f>
        <v>O. 수학적 확률</v>
      </c>
      <c r="D116" s="2" t="str">
        <f>작업!H116</f>
        <v>수학적 확률</v>
      </c>
      <c r="E116" s="2" t="str">
        <f>작업!C116&amp;"("&amp;VLOOKUP(작업!D116,작업!$N$2:$O$6,2,0)&amp;")"</f>
        <v>20250624(♥)</v>
      </c>
      <c r="F116" s="2" t="str">
        <f>작업!I116</f>
        <v>mun/20250624.png</v>
      </c>
      <c r="G116" s="2">
        <f>작업!J116</f>
        <v>2</v>
      </c>
      <c r="H116" s="2">
        <f>작업!D116</f>
        <v>1</v>
      </c>
      <c r="I116" s="2">
        <f>작업!K116</f>
        <v>1</v>
      </c>
      <c r="J116" s="2" t="str">
        <f>작업!L116</f>
        <v>https://ebsi.co.kr/ebs/lms/player/retrieveLmsPlayerHtml5Simple.ebs?medUrl=https://WSTR.ebsi.co.kr/M41M2401/S20240000260/S20240000260_1M4_100030054382.mp4&amp;strStartTm=210&amp;pType=2</v>
      </c>
    </row>
    <row r="117" spans="1:10" x14ac:dyDescent="0.3">
      <c r="A117" s="2" t="str">
        <f>작업!E117</f>
        <v>확률과 통계</v>
      </c>
      <c r="B117" s="2" t="str">
        <f>작업!F117</f>
        <v>1. 경우의 수</v>
      </c>
      <c r="C117" s="2" t="str">
        <f>작업!G117</f>
        <v>N. 이항정리와 이항계수</v>
      </c>
      <c r="D117" s="2" t="str">
        <f>작업!H117</f>
        <v>전개식의 계수</v>
      </c>
      <c r="E117" s="2" t="str">
        <f>작업!C117&amp;"("&amp;VLOOKUP(작업!D117,작업!$N$2:$O$6,2,0)&amp;")"</f>
        <v>20230626(♥♥)</v>
      </c>
      <c r="F117" s="2" t="str">
        <f>작업!I117</f>
        <v>mun/20230626.png</v>
      </c>
      <c r="G117" s="2">
        <f>작업!J117</f>
        <v>2</v>
      </c>
      <c r="H117" s="2">
        <f>작업!D117</f>
        <v>2</v>
      </c>
      <c r="I117" s="2">
        <f>작업!K117</f>
        <v>1</v>
      </c>
      <c r="J117" s="2" t="str">
        <f>작업!L117</f>
        <v>https://ebsi.co.kr/ebs/lms/player/retrieveLmsPlayerHtml5Simple.ebs?medUrl=https://WSTR.ebsi.co.kr/M41M2201/S20220000268/S20220000268_1M4_100030024244.mp4&amp;strStartTm=1077&amp;pType=2</v>
      </c>
    </row>
    <row r="118" spans="1:10" x14ac:dyDescent="0.3">
      <c r="A118" s="2" t="str">
        <f>작업!E118</f>
        <v>확률과 통계</v>
      </c>
      <c r="B118" s="2" t="str">
        <f>작업!F118</f>
        <v>1. 경우의 수</v>
      </c>
      <c r="C118" s="2" t="str">
        <f>작업!G118</f>
        <v>M. 여러 가지 순열과 중복 조합</v>
      </c>
      <c r="D118" s="2" t="str">
        <f>작업!H118</f>
        <v>중복 순열</v>
      </c>
      <c r="E118" s="2" t="str">
        <f>작업!C118&amp;"("&amp;VLOOKUP(작업!D118,작업!$N$2:$O$6,2,0)&amp;")"</f>
        <v>20230627(♥♥♥)</v>
      </c>
      <c r="F118" s="2" t="str">
        <f>작업!I118</f>
        <v>mun/20230627.png</v>
      </c>
      <c r="G118" s="2">
        <f>작업!J118</f>
        <v>3</v>
      </c>
      <c r="H118" s="2">
        <f>작업!D118</f>
        <v>3</v>
      </c>
      <c r="I118" s="2">
        <f>작업!K118</f>
        <v>1</v>
      </c>
      <c r="J118" s="2" t="str">
        <f>작업!L118</f>
        <v>https://ebsi.co.kr/ebs/lms/player/retrieveLmsPlayerHtml5Simple.ebs?medUrl=https://WSTR.ebsi.co.kr/M41M2201/S20220000268/S20220000268_1M4_100030024244.mp4&amp;strStartTm=1559&amp;pType=2</v>
      </c>
    </row>
    <row r="119" spans="1:10" x14ac:dyDescent="0.3">
      <c r="A119" s="2" t="str">
        <f>작업!E119</f>
        <v>확률과 통계</v>
      </c>
      <c r="B119" s="2" t="str">
        <f>작업!F119</f>
        <v>2. 확률</v>
      </c>
      <c r="C119" s="2" t="str">
        <f>작업!G119</f>
        <v>O. 수학적 확률</v>
      </c>
      <c r="D119" s="2" t="str">
        <f>작업!H119</f>
        <v>수학적 확률</v>
      </c>
      <c r="E119" s="2" t="str">
        <f>작업!C119&amp;"("&amp;VLOOKUP(작업!D119,작업!$N$2:$O$6,2,0)&amp;")"</f>
        <v>20250626(♥♥)</v>
      </c>
      <c r="F119" s="2" t="str">
        <f>작업!I119</f>
        <v>mun/20250626.png</v>
      </c>
      <c r="G119" s="2">
        <f>작업!J119</f>
        <v>3</v>
      </c>
      <c r="H119" s="2">
        <f>작업!D119</f>
        <v>2</v>
      </c>
      <c r="I119" s="2">
        <f>작업!K119</f>
        <v>1</v>
      </c>
      <c r="J119" s="2" t="str">
        <f>작업!L119</f>
        <v>https://ebsi.co.kr/ebs/lms/player/retrieveLmsPlayerHtml5Simple.ebs?medUrl=https://WSTR.ebsi.co.kr/M41M2401/S20240000260/S20240000260_1M4_100030054382.mp4&amp;strStartTm=670&amp;pType=2</v>
      </c>
    </row>
    <row r="120" spans="1:10" x14ac:dyDescent="0.3">
      <c r="A120" s="2" t="str">
        <f>작업!E120</f>
        <v>확률과 통계</v>
      </c>
      <c r="B120" s="2" t="str">
        <f>작업!F120</f>
        <v>1. 경우의 수</v>
      </c>
      <c r="C120" s="2" t="str">
        <f>작업!G120</f>
        <v>M. 여러 가지 순열과 중복 조합</v>
      </c>
      <c r="D120" s="2" t="str">
        <f>작업!H120</f>
        <v>중복 조합</v>
      </c>
      <c r="E120" s="2" t="str">
        <f>작업!C120&amp;"("&amp;VLOOKUP(작업!D120,작업!$N$2:$O$6,2,0)&amp;")"</f>
        <v>20230629(♥♥♥♥)</v>
      </c>
      <c r="F120" s="2" t="str">
        <f>작업!I120</f>
        <v>mun/20230629.png</v>
      </c>
      <c r="G120" s="2">
        <f>작업!J120</f>
        <v>115</v>
      </c>
      <c r="H120" s="2">
        <f>작업!D120</f>
        <v>4</v>
      </c>
      <c r="I120" s="2">
        <f>작업!K120</f>
        <v>1</v>
      </c>
      <c r="J120" s="2" t="str">
        <f>작업!L120</f>
        <v>https://ebsi.co.kr/ebs/lms/player/retrieveLmsPlayerHtml5Simple.ebs?medUrl=https://WSTR.ebsi.co.kr/M41M2201/S20220000268/S20220000268_1M4_100030024244.mp4&amp;strStartTm=2030&amp;pType=2</v>
      </c>
    </row>
    <row r="121" spans="1:10" x14ac:dyDescent="0.3">
      <c r="A121" s="2" t="str">
        <f>작업!E121</f>
        <v>확률과 통계</v>
      </c>
      <c r="B121" s="2" t="str">
        <f>작업!F121</f>
        <v>2. 확률</v>
      </c>
      <c r="C121" s="2" t="str">
        <f>작업!G121</f>
        <v>O. 수학적 확률</v>
      </c>
      <c r="D121" s="2" t="str">
        <f>작업!H121</f>
        <v>수학적 확률</v>
      </c>
      <c r="E121" s="2" t="str">
        <f>작업!C121&amp;"("&amp;VLOOKUP(작업!D121,작업!$N$2:$O$6,2,0)&amp;")"</f>
        <v>20250629(♥♥♥♥)</v>
      </c>
      <c r="F121" s="2" t="str">
        <f>작업!I121</f>
        <v>mun/20250629.png</v>
      </c>
      <c r="G121" s="2">
        <f>작업!J121</f>
        <v>6</v>
      </c>
      <c r="H121" s="2">
        <f>작업!D121</f>
        <v>4</v>
      </c>
      <c r="I121" s="2">
        <f>작업!K121</f>
        <v>1</v>
      </c>
      <c r="J121" s="2" t="str">
        <f>작업!L121</f>
        <v>https://ebsi.co.kr/ebs/lms/player/retrieveLmsPlayerHtml5Simple.ebs?medUrl=https://WSTR.ebsi.co.kr/M41M2401/S20240000260/S20240000260_1M4_100030054382.mp4&amp;strStartTm=2090&amp;pType=2</v>
      </c>
    </row>
    <row r="122" spans="1:10" x14ac:dyDescent="0.3">
      <c r="A122" s="2" t="str">
        <f>작업!E122</f>
        <v>수학Ⅰ</v>
      </c>
      <c r="B122" s="2" t="str">
        <f>작업!F122</f>
        <v>1. 지수함수와 로그함수</v>
      </c>
      <c r="C122" s="2" t="str">
        <f>작업!G122</f>
        <v>A. 지수와 로그</v>
      </c>
      <c r="D122" s="2" t="str">
        <f>작업!H122</f>
        <v>지수의 연산</v>
      </c>
      <c r="E122" s="2" t="str">
        <f>작업!C122&amp;"("&amp;VLOOKUP(작업!D122,작업!$N$2:$O$6,2,0)&amp;")"</f>
        <v>20230901(♥)</v>
      </c>
      <c r="F122" s="2" t="str">
        <f>작업!I122</f>
        <v>mun/20230901.png</v>
      </c>
      <c r="G122" s="2">
        <f>작업!J122</f>
        <v>4</v>
      </c>
      <c r="H122" s="2">
        <f>작업!D122</f>
        <v>1</v>
      </c>
      <c r="I122" s="2">
        <f>작업!K122</f>
        <v>1</v>
      </c>
      <c r="J122" s="2" t="str">
        <f>작업!L122</f>
        <v>https://ebsi.co.kr/ebs/lms/player/retrieveLmsPlayerHtml5Simple.ebs?medUrl=https://WSTR.ebsi.co.kr/M41M2201/S20220000415/S20220000415_1M4_100030027366.mp4&amp;strStartTm=219&amp;pType=2</v>
      </c>
    </row>
    <row r="123" spans="1:10" x14ac:dyDescent="0.3">
      <c r="A123" s="2" t="str">
        <f>작업!E123</f>
        <v>수학Ⅱ</v>
      </c>
      <c r="B123" s="2" t="str">
        <f>작업!F123</f>
        <v>2. 미분</v>
      </c>
      <c r="C123" s="2" t="str">
        <f>작업!G123</f>
        <v>I. 도함수</v>
      </c>
      <c r="D123" s="2" t="str">
        <f>작업!H123</f>
        <v>미분계수와 도함수</v>
      </c>
      <c r="E123" s="2" t="str">
        <f>작업!C123&amp;"("&amp;VLOOKUP(작업!D123,작업!$N$2:$O$6,2,0)&amp;")"</f>
        <v>20230902(♥)</v>
      </c>
      <c r="F123" s="2" t="str">
        <f>작업!I123</f>
        <v>mun/20230902.png</v>
      </c>
      <c r="G123" s="2">
        <f>작업!J123</f>
        <v>1</v>
      </c>
      <c r="H123" s="2">
        <f>작업!D123</f>
        <v>1</v>
      </c>
      <c r="I123" s="2">
        <f>작업!K123</f>
        <v>1</v>
      </c>
      <c r="J123" s="2" t="str">
        <f>작업!L123</f>
        <v>https://ebsi.co.kr/ebs/lms/player/retrieveLmsPlayerHtml5Simple.ebs?medUrl=https://WSTR.ebsi.co.kr/M41M2201/S20220000415/S20220000415_1M4_100030027367.mp4&amp;strStartTm=58&amp;pType=2</v>
      </c>
    </row>
    <row r="124" spans="1:10" x14ac:dyDescent="0.3">
      <c r="A124" s="2" t="str">
        <f>작업!E124</f>
        <v>수학Ⅰ</v>
      </c>
      <c r="B124" s="2" t="str">
        <f>작업!F124</f>
        <v>2. 삼각함수</v>
      </c>
      <c r="C124" s="2" t="str">
        <f>작업!G124</f>
        <v>C. 삼각함수</v>
      </c>
      <c r="D124" s="2" t="str">
        <f>작업!H124</f>
        <v>삼각함수의 값</v>
      </c>
      <c r="E124" s="2" t="str">
        <f>작업!C124&amp;"("&amp;VLOOKUP(작업!D124,작업!$N$2:$O$6,2,0)&amp;")"</f>
        <v>20230903(♥)</v>
      </c>
      <c r="F124" s="2" t="str">
        <f>작업!I124</f>
        <v>mun/20230903.png</v>
      </c>
      <c r="G124" s="2">
        <f>작업!J124</f>
        <v>2</v>
      </c>
      <c r="H124" s="2">
        <f>작업!D124</f>
        <v>1</v>
      </c>
      <c r="I124" s="2">
        <f>작업!K124</f>
        <v>1</v>
      </c>
      <c r="J124" s="2" t="str">
        <f>작업!L124</f>
        <v>https://ebsi.co.kr/ebs/lms/player/retrieveLmsPlayerHtml5Simple.ebs?medUrl=https://WSTR.ebsi.co.kr/M41M2201/S20220000415/S20220000415_1M4_100030027366.mp4&amp;strStartTm=271&amp;pType=2</v>
      </c>
    </row>
    <row r="125" spans="1:10" x14ac:dyDescent="0.3">
      <c r="A125" s="2" t="str">
        <f>작업!E125</f>
        <v>수학Ⅱ</v>
      </c>
      <c r="B125" s="2" t="str">
        <f>작업!F125</f>
        <v>1. 함수의 극한과 연속</v>
      </c>
      <c r="C125" s="2" t="str">
        <f>작업!G125</f>
        <v>H. 함수의 연속</v>
      </c>
      <c r="D125" s="2" t="str">
        <f>작업!H125</f>
        <v>함수의 연속</v>
      </c>
      <c r="E125" s="2" t="str">
        <f>작업!C125&amp;"("&amp;VLOOKUP(작업!D125,작업!$N$2:$O$6,2,0)&amp;")"</f>
        <v>20230904(♥♥)</v>
      </c>
      <c r="F125" s="2" t="str">
        <f>작업!I125</f>
        <v>mun/20230904.png</v>
      </c>
      <c r="G125" s="2">
        <f>작업!J125</f>
        <v>1</v>
      </c>
      <c r="H125" s="2">
        <f>작업!D125</f>
        <v>2</v>
      </c>
      <c r="I125" s="2">
        <f>작업!K125</f>
        <v>1</v>
      </c>
      <c r="J125" s="2" t="str">
        <f>작업!L125</f>
        <v>https://ebsi.co.kr/ebs/lms/player/retrieveLmsPlayerHtml5Simple.ebs?medUrl=https://WSTR.ebsi.co.kr/M41M2201/S20220000415/S20220000415_1M4_100030027367.mp4&amp;strStartTm=118&amp;pType=2</v>
      </c>
    </row>
    <row r="126" spans="1:10" x14ac:dyDescent="0.3">
      <c r="A126" s="2" t="str">
        <f>작업!E126</f>
        <v>수학Ⅰ</v>
      </c>
      <c r="B126" s="2" t="str">
        <f>작업!F126</f>
        <v>3. 수열</v>
      </c>
      <c r="C126" s="2" t="str">
        <f>작업!G126</f>
        <v>D. 등차수열과 등비수열</v>
      </c>
      <c r="D126" s="2" t="str">
        <f>작업!H126</f>
        <v>등차수열</v>
      </c>
      <c r="E126" s="2" t="str">
        <f>작업!C126&amp;"("&amp;VLOOKUP(작업!D126,작업!$N$2:$O$6,2,0)&amp;")"</f>
        <v>20230905(♥♥)</v>
      </c>
      <c r="F126" s="2" t="str">
        <f>작업!I126</f>
        <v>mun/20230905.png</v>
      </c>
      <c r="G126" s="2">
        <f>작업!J126</f>
        <v>3</v>
      </c>
      <c r="H126" s="2">
        <f>작업!D126</f>
        <v>2</v>
      </c>
      <c r="I126" s="2">
        <f>작업!K126</f>
        <v>1</v>
      </c>
      <c r="J126" s="2" t="str">
        <f>작업!L126</f>
        <v>https://ebsi.co.kr/ebs/lms/player/retrieveLmsPlayerHtml5Simple.ebs?medUrl=https://WSTR.ebsi.co.kr/M41M2201/S20220000415/S20220000415_1M4_100030027366.mp4&amp;strStartTm=537&amp;pType=2</v>
      </c>
    </row>
    <row r="127" spans="1:10" x14ac:dyDescent="0.3">
      <c r="A127" s="2" t="str">
        <f>작업!E127</f>
        <v>수학Ⅱ</v>
      </c>
      <c r="B127" s="2" t="str">
        <f>작업!F127</f>
        <v>2. 미분</v>
      </c>
      <c r="C127" s="2" t="str">
        <f>작업!G127</f>
        <v>J. 도함수의 활용</v>
      </c>
      <c r="D127" s="2" t="str">
        <f>작업!H127</f>
        <v>극대와 극소</v>
      </c>
      <c r="E127" s="2" t="str">
        <f>작업!C127&amp;"("&amp;VLOOKUP(작업!D127,작업!$N$2:$O$6,2,0)&amp;")"</f>
        <v>20230906(♥♥)</v>
      </c>
      <c r="F127" s="2" t="str">
        <f>작업!I127</f>
        <v>mun/20230906.png</v>
      </c>
      <c r="G127" s="2">
        <f>작업!J127</f>
        <v>5</v>
      </c>
      <c r="H127" s="2">
        <f>작업!D127</f>
        <v>2</v>
      </c>
      <c r="I127" s="2">
        <f>작업!K127</f>
        <v>1</v>
      </c>
      <c r="J127" s="2" t="str">
        <f>작업!L127</f>
        <v>https://ebsi.co.kr/ebs/lms/player/retrieveLmsPlayerHtml5Simple.ebs?medUrl=https://WSTR.ebsi.co.kr/M41M2201/S20220000415/S20220000415_1M4_100030027367.mp4&amp;strStartTm=218&amp;pType=2</v>
      </c>
    </row>
    <row r="128" spans="1:10" x14ac:dyDescent="0.3">
      <c r="A128" s="2" t="str">
        <f>작업!E128</f>
        <v>수학Ⅰ</v>
      </c>
      <c r="B128" s="2" t="str">
        <f>작업!F128</f>
        <v>3. 수열</v>
      </c>
      <c r="C128" s="2" t="str">
        <f>작업!G128</f>
        <v>E. 수열의 합</v>
      </c>
      <c r="D128" s="2" t="str">
        <f>작업!H128</f>
        <v>여러 가지 수열의 합</v>
      </c>
      <c r="E128" s="2" t="str">
        <f>작업!C128&amp;"("&amp;VLOOKUP(작업!D128,작업!$N$2:$O$6,2,0)&amp;")"</f>
        <v>20230907(♥♥)</v>
      </c>
      <c r="F128" s="2" t="str">
        <f>작업!I128</f>
        <v>mun/20230907.png</v>
      </c>
      <c r="G128" s="2">
        <f>작업!J128</f>
        <v>5</v>
      </c>
      <c r="H128" s="2">
        <f>작업!D128</f>
        <v>2</v>
      </c>
      <c r="I128" s="2">
        <f>작업!K128</f>
        <v>1</v>
      </c>
      <c r="J128" s="2" t="str">
        <f>작업!L128</f>
        <v>https://ebsi.co.kr/ebs/lms/player/retrieveLmsPlayerHtml5Simple.ebs?medUrl=https://WSTR.ebsi.co.kr/M41M2201/S20220000415/S20220000415_1M4_100030027366.mp4&amp;strStartTm=773&amp;pType=2</v>
      </c>
    </row>
    <row r="129" spans="1:10" x14ac:dyDescent="0.3">
      <c r="A129" s="2" t="str">
        <f>작업!E129</f>
        <v>수학Ⅱ</v>
      </c>
      <c r="B129" s="2" t="str">
        <f>작업!F129</f>
        <v>2. 미분</v>
      </c>
      <c r="C129" s="2" t="str">
        <f>작업!G129</f>
        <v>J. 도함수의 활용</v>
      </c>
      <c r="D129" s="2" t="str">
        <f>작업!H129</f>
        <v>접선의 방정식</v>
      </c>
      <c r="E129" s="2" t="str">
        <f>작업!C129&amp;"("&amp;VLOOKUP(작업!D129,작업!$N$2:$O$6,2,0)&amp;")"</f>
        <v>20230908(♥♥)</v>
      </c>
      <c r="F129" s="2" t="str">
        <f>작업!I129</f>
        <v>mun/20230908.png</v>
      </c>
      <c r="G129" s="2">
        <f>작업!J129</f>
        <v>1</v>
      </c>
      <c r="H129" s="2">
        <f>작업!D129</f>
        <v>2</v>
      </c>
      <c r="I129" s="2">
        <f>작업!K129</f>
        <v>1</v>
      </c>
      <c r="J129" s="2" t="str">
        <f>작업!L129</f>
        <v>https://ebsi.co.kr/ebs/lms/player/retrieveLmsPlayerHtml5Simple.ebs?medUrl=https://WSTR.ebsi.co.kr/M41M2201/S20220000415/S20220000415_1M4_100030027367.mp4&amp;strStartTm=327&amp;pType=2</v>
      </c>
    </row>
    <row r="130" spans="1:10" x14ac:dyDescent="0.3">
      <c r="A130" s="2" t="str">
        <f>작업!E130</f>
        <v>수학Ⅰ</v>
      </c>
      <c r="B130" s="2" t="str">
        <f>작업!F130</f>
        <v>2. 삼각함수</v>
      </c>
      <c r="C130" s="2" t="str">
        <f>작업!G130</f>
        <v>C. 삼각함수</v>
      </c>
      <c r="D130" s="2" t="str">
        <f>작업!H130</f>
        <v>방정식과 부등식에의 활용</v>
      </c>
      <c r="E130" s="2" t="str">
        <f>작업!C130&amp;"("&amp;VLOOKUP(작업!D130,작업!$N$2:$O$6,2,0)&amp;")"</f>
        <v>20230909(♥♥♥)</v>
      </c>
      <c r="F130" s="2" t="str">
        <f>작업!I130</f>
        <v>mun/20230909.png</v>
      </c>
      <c r="G130" s="2">
        <f>작업!J130</f>
        <v>3</v>
      </c>
      <c r="H130" s="2">
        <f>작업!D130</f>
        <v>3</v>
      </c>
      <c r="I130" s="2">
        <f>작업!K130</f>
        <v>1</v>
      </c>
      <c r="J130" s="2" t="str">
        <f>작업!L130</f>
        <v>https://ebsi.co.kr/ebs/lms/player/retrieveLmsPlayerHtml5Simple.ebs?medUrl=https://WSTR.ebsi.co.kr/M41M2201/S20220000415/S20220000415_1M4_100030027366.mp4&amp;strStartTm=986&amp;pType=2</v>
      </c>
    </row>
    <row r="131" spans="1:10" x14ac:dyDescent="0.3">
      <c r="A131" s="2" t="str">
        <f>작업!E131</f>
        <v>수학Ⅱ</v>
      </c>
      <c r="B131" s="2" t="str">
        <f>작업!F131</f>
        <v>3. 적분</v>
      </c>
      <c r="C131" s="2" t="str">
        <f>작업!G131</f>
        <v>L. 정적분</v>
      </c>
      <c r="D131" s="2" t="str">
        <f>작업!H131</f>
        <v>속도와 거리</v>
      </c>
      <c r="E131" s="2" t="str">
        <f>작업!C131&amp;"("&amp;VLOOKUP(작업!D131,작업!$N$2:$O$6,2,0)&amp;")"</f>
        <v>20230910(♥♥♥)</v>
      </c>
      <c r="F131" s="2" t="str">
        <f>작업!I131</f>
        <v>mun/20230910.png</v>
      </c>
      <c r="G131" s="2">
        <f>작업!J131</f>
        <v>4</v>
      </c>
      <c r="H131" s="2">
        <f>작업!D131</f>
        <v>3</v>
      </c>
      <c r="I131" s="2">
        <f>작업!K131</f>
        <v>1</v>
      </c>
      <c r="J131" s="2" t="str">
        <f>작업!L131</f>
        <v>https://ebsi.co.kr/ebs/lms/player/retrieveLmsPlayerHtml5Simple.ebs?medUrl=https://WSTR.ebsi.co.kr/M41M2201/S20220000415/S20220000415_1M4_100030027367.mp4&amp;strStartTm=514&amp;pType=2</v>
      </c>
    </row>
    <row r="132" spans="1:10" x14ac:dyDescent="0.3">
      <c r="A132" s="2" t="str">
        <f>작업!E132</f>
        <v>수학Ⅰ</v>
      </c>
      <c r="B132" s="2" t="str">
        <f>작업!F132</f>
        <v>1. 지수함수와 로그함수</v>
      </c>
      <c r="C132" s="2" t="str">
        <f>작업!G132</f>
        <v>A. 지수와 로그</v>
      </c>
      <c r="D132" s="2" t="str">
        <f>작업!H132</f>
        <v>거듭제곱근</v>
      </c>
      <c r="E132" s="2" t="str">
        <f>작업!C132&amp;"("&amp;VLOOKUP(작업!D132,작업!$N$2:$O$6,2,0)&amp;")"</f>
        <v>20230911(♥♥♥)</v>
      </c>
      <c r="F132" s="2" t="str">
        <f>작업!I132</f>
        <v>mun/20230911.png</v>
      </c>
      <c r="G132" s="2">
        <f>작업!J132</f>
        <v>2</v>
      </c>
      <c r="H132" s="2">
        <f>작업!D132</f>
        <v>3</v>
      </c>
      <c r="I132" s="2">
        <f>작업!K132</f>
        <v>1</v>
      </c>
      <c r="J132" s="2" t="str">
        <f>작업!L132</f>
        <v>https://ebsi.co.kr/ebs/lms/player/retrieveLmsPlayerHtml5Simple.ebs?medUrl=https://WSTR.ebsi.co.kr/M41M2201/S20220000415/S20220000415_1M4_100030027366.mp4&amp;strStartTm=1607&amp;pType=2</v>
      </c>
    </row>
    <row r="133" spans="1:10" x14ac:dyDescent="0.3">
      <c r="A133" s="2" t="str">
        <f>작업!E133</f>
        <v>수학Ⅱ</v>
      </c>
      <c r="B133" s="2" t="str">
        <f>작업!F133</f>
        <v>1. 함수의 극한과 연속</v>
      </c>
      <c r="C133" s="2" t="str">
        <f>작업!G133</f>
        <v>G. 함수의 극한</v>
      </c>
      <c r="D133" s="2" t="str">
        <f>작업!H133</f>
        <v>그래프와 도형의 성질에 관한 극한</v>
      </c>
      <c r="E133" s="2" t="str">
        <f>작업!C133&amp;"("&amp;VLOOKUP(작업!D133,작업!$N$2:$O$6,2,0)&amp;")"</f>
        <v>20230912(♥♥♥♥)</v>
      </c>
      <c r="F133" s="2" t="str">
        <f>작업!I133</f>
        <v>mun/20230912.png</v>
      </c>
      <c r="G133" s="2">
        <f>작업!J133</f>
        <v>2</v>
      </c>
      <c r="H133" s="2">
        <f>작업!D133</f>
        <v>4</v>
      </c>
      <c r="I133" s="2">
        <f>작업!K133</f>
        <v>1</v>
      </c>
      <c r="J133" s="2" t="str">
        <f>작업!L133</f>
        <v>https://ebsi.co.kr/ebs/lms/player/retrieveLmsPlayerHtml5Simple.ebs?medUrl=https://WSTR.ebsi.co.kr/M41M2201/S20220000415/S20220000415_1M4_100030027367.mp4&amp;strStartTm=714&amp;pType=2</v>
      </c>
    </row>
    <row r="134" spans="1:10" x14ac:dyDescent="0.3">
      <c r="A134" s="2" t="str">
        <f>작업!E134</f>
        <v>수학Ⅰ</v>
      </c>
      <c r="B134" s="2" t="str">
        <f>작업!F134</f>
        <v>2. 삼각함수</v>
      </c>
      <c r="C134" s="2" t="str">
        <f>작업!G134</f>
        <v>C. 삼각함수</v>
      </c>
      <c r="D134" s="2" t="str">
        <f>작업!H134</f>
        <v>사인법칙과 코사인법칙</v>
      </c>
      <c r="E134" s="2" t="str">
        <f>작업!C134&amp;"("&amp;VLOOKUP(작업!D134,작업!$N$2:$O$6,2,0)&amp;")"</f>
        <v>20230913(♥♥♥♥)</v>
      </c>
      <c r="F134" s="2" t="str">
        <f>작업!I134</f>
        <v>mun/20230913.png</v>
      </c>
      <c r="G134" s="2">
        <f>작업!J134</f>
        <v>5</v>
      </c>
      <c r="H134" s="2">
        <f>작업!D134</f>
        <v>4</v>
      </c>
      <c r="I134" s="2">
        <f>작업!K134</f>
        <v>1</v>
      </c>
      <c r="J134" s="2" t="str">
        <f>작업!L134</f>
        <v>https://ebsi.co.kr/ebs/lms/player/retrieveLmsPlayerHtml5Simple.ebs?medUrl=https://WSTR.ebsi.co.kr/M41M2201/S20220000415/S20220000415_1M4_100030027366.mp4&amp;strStartTm=2050&amp;pType=2</v>
      </c>
    </row>
    <row r="135" spans="1:10" x14ac:dyDescent="0.3">
      <c r="A135" s="2" t="str">
        <f>작업!E135</f>
        <v>수학Ⅱ</v>
      </c>
      <c r="B135" s="2" t="str">
        <f>작업!F135</f>
        <v>3. 적분</v>
      </c>
      <c r="C135" s="2" t="str">
        <f>작업!G135</f>
        <v>L. 정적분</v>
      </c>
      <c r="D135" s="2" t="str">
        <f>작업!H135</f>
        <v>미적분학의 기본 정리</v>
      </c>
      <c r="E135" s="2" t="str">
        <f>작업!C135&amp;"("&amp;VLOOKUP(작업!D135,작업!$N$2:$O$6,2,0)&amp;")"</f>
        <v>20230914(♥♥♥♥)</v>
      </c>
      <c r="F135" s="2" t="str">
        <f>작업!I135</f>
        <v>mun/20230914.png</v>
      </c>
      <c r="G135" s="2">
        <f>작업!J135</f>
        <v>5</v>
      </c>
      <c r="H135" s="2">
        <f>작업!D135</f>
        <v>4</v>
      </c>
      <c r="I135" s="2">
        <f>작업!K135</f>
        <v>1</v>
      </c>
      <c r="J135" s="2" t="str">
        <f>작업!L135</f>
        <v>https://ebsi.co.kr/ebs/lms/player/retrieveLmsPlayerHtml5Simple.ebs?medUrl=https://WSTR.ebsi.co.kr/M41M2201/S20220000415/S20220000415_1M4_100030027367.mp4&amp;strStartTm=1126&amp;pType=2</v>
      </c>
    </row>
    <row r="136" spans="1:10" x14ac:dyDescent="0.3">
      <c r="A136" s="2" t="str">
        <f>작업!E136</f>
        <v>수학Ⅰ</v>
      </c>
      <c r="B136" s="2" t="str">
        <f>작업!F136</f>
        <v>3. 수열</v>
      </c>
      <c r="C136" s="2" t="str">
        <f>작업!G136</f>
        <v>F. 수학적 귀납법</v>
      </c>
      <c r="D136" s="2" t="str">
        <f>작업!H136</f>
        <v>수열의 귀납적 정의</v>
      </c>
      <c r="E136" s="2" t="str">
        <f>작업!C136&amp;"("&amp;VLOOKUP(작업!D136,작업!$N$2:$O$6,2,0)&amp;")"</f>
        <v>20230915(♥♥♥♥♥)</v>
      </c>
      <c r="F136" s="2" t="str">
        <f>작업!I136</f>
        <v>mun/20230915.png</v>
      </c>
      <c r="G136" s="2">
        <f>작업!J136</f>
        <v>3</v>
      </c>
      <c r="H136" s="2">
        <f>작업!D136</f>
        <v>5</v>
      </c>
      <c r="I136" s="2">
        <f>작업!K136</f>
        <v>1</v>
      </c>
      <c r="J136" s="2" t="str">
        <f>작업!L136</f>
        <v>https://ebsi.co.kr/ebs/lms/player/retrieveLmsPlayerHtml5Simple.ebs?medUrl=https://WSTR.ebsi.co.kr/M41M2201/S20220000415/S20220000415_1M4_100030027366.mp4&amp;strStartTm=2873&amp;pType=2</v>
      </c>
    </row>
    <row r="137" spans="1:10" x14ac:dyDescent="0.3">
      <c r="A137" s="2" t="str">
        <f>작업!E137</f>
        <v>수학Ⅰ</v>
      </c>
      <c r="B137" s="2" t="str">
        <f>작업!F137</f>
        <v>1. 지수함수와 로그함수</v>
      </c>
      <c r="C137" s="2" t="str">
        <f>작업!G137</f>
        <v>B. 지수함수와 로그함수</v>
      </c>
      <c r="D137" s="2" t="str">
        <f>작업!H137</f>
        <v>방정식과 부등식에의 활용</v>
      </c>
      <c r="E137" s="2" t="str">
        <f>작업!C137&amp;"("&amp;VLOOKUP(작업!D137,작업!$N$2:$O$6,2,0)&amp;")"</f>
        <v>20230916(♥)</v>
      </c>
      <c r="F137" s="2" t="str">
        <f>작업!I137</f>
        <v>mun/20230916.png</v>
      </c>
      <c r="G137" s="2">
        <f>작업!J137</f>
        <v>7</v>
      </c>
      <c r="H137" s="2">
        <f>작업!D137</f>
        <v>1</v>
      </c>
      <c r="I137" s="2">
        <f>작업!K137</f>
        <v>1</v>
      </c>
      <c r="J137" s="2" t="str">
        <f>작업!L137</f>
        <v>https://ebsi.co.kr/ebs/lms/player/retrieveLmsPlayerHtml5Simple.ebs?medUrl=https://WSTR.ebsi.co.kr/M41M2201/S20220000415/S20220000415_1M4_100030027366.mp4&amp;strStartTm=3682&amp;pType=2</v>
      </c>
    </row>
    <row r="138" spans="1:10" x14ac:dyDescent="0.3">
      <c r="A138" s="2" t="str">
        <f>작업!E138</f>
        <v>수학Ⅱ</v>
      </c>
      <c r="B138" s="2" t="str">
        <f>작업!F138</f>
        <v>3. 적분</v>
      </c>
      <c r="C138" s="2" t="str">
        <f>작업!G138</f>
        <v>K. 부정적분</v>
      </c>
      <c r="D138" s="2" t="str">
        <f>작업!H138</f>
        <v>부정적분</v>
      </c>
      <c r="E138" s="2" t="str">
        <f>작업!C138&amp;"("&amp;VLOOKUP(작업!D138,작업!$N$2:$O$6,2,0)&amp;")"</f>
        <v>20230917(♥)</v>
      </c>
      <c r="F138" s="2" t="str">
        <f>작업!I138</f>
        <v>mun/20230917.png</v>
      </c>
      <c r="G138" s="2">
        <f>작업!J138</f>
        <v>16</v>
      </c>
      <c r="H138" s="2">
        <f>작업!D138</f>
        <v>1</v>
      </c>
      <c r="I138" s="2">
        <f>작업!K138</f>
        <v>1</v>
      </c>
      <c r="J138" s="2" t="str">
        <f>작업!L138</f>
        <v>https://ebsi.co.kr/ebs/lms/player/retrieveLmsPlayerHtml5Simple.ebs?medUrl=https://WSTR.ebsi.co.kr/M41M2201/S20220000415/S20220000415_1M4_100030027367.mp4&amp;strStartTm=2256&amp;pType=2</v>
      </c>
    </row>
    <row r="139" spans="1:10" x14ac:dyDescent="0.3">
      <c r="A139" s="2" t="str">
        <f>작업!E139</f>
        <v>수학Ⅰ</v>
      </c>
      <c r="B139" s="2" t="str">
        <f>작업!F139</f>
        <v>3. 수열</v>
      </c>
      <c r="C139" s="2" t="str">
        <f>작업!G139</f>
        <v>E. 수열의 합</v>
      </c>
      <c r="D139" s="2" t="str">
        <f>작업!H139</f>
        <v>시그마의 뜻과 성질</v>
      </c>
      <c r="E139" s="2" t="str">
        <f>작업!C139&amp;"("&amp;VLOOKUP(작업!D139,작업!$N$2:$O$6,2,0)&amp;")"</f>
        <v>20230918(♥♥♥)</v>
      </c>
      <c r="F139" s="2" t="str">
        <f>작업!I139</f>
        <v>mun/20230918.png</v>
      </c>
      <c r="G139" s="2">
        <f>작업!J139</f>
        <v>13</v>
      </c>
      <c r="H139" s="2">
        <f>작업!D139</f>
        <v>3</v>
      </c>
      <c r="I139" s="2">
        <f>작업!K139</f>
        <v>1</v>
      </c>
      <c r="J139" s="2" t="str">
        <f>작업!L139</f>
        <v>https://ebsi.co.kr/ebs/lms/player/retrieveLmsPlayerHtml5Simple.ebs?medUrl=https://WSTR.ebsi.co.kr/M41M2201/S20220000415/S20220000415_1M4_100030027366.mp4&amp;strStartTm=3798&amp;pType=2</v>
      </c>
    </row>
    <row r="140" spans="1:10" x14ac:dyDescent="0.3">
      <c r="A140" s="2" t="str">
        <f>작업!E140</f>
        <v>수학Ⅱ</v>
      </c>
      <c r="B140" s="2" t="str">
        <f>작업!F140</f>
        <v>2. 미분</v>
      </c>
      <c r="C140" s="2" t="str">
        <f>작업!G140</f>
        <v>J. 도함수의 활용</v>
      </c>
      <c r="D140" s="2" t="str">
        <f>작업!H140</f>
        <v>방정식과 부등식에의 활용</v>
      </c>
      <c r="E140" s="2" t="str">
        <f>작업!C140&amp;"("&amp;VLOOKUP(작업!D140,작업!$N$2:$O$6,2,0)&amp;")"</f>
        <v>20230919(♥♥♥)</v>
      </c>
      <c r="F140" s="2" t="str">
        <f>작업!I140</f>
        <v>mun/20230919.png</v>
      </c>
      <c r="G140" s="2">
        <f>작업!J140</f>
        <v>4</v>
      </c>
      <c r="H140" s="2">
        <f>작업!D140</f>
        <v>3</v>
      </c>
      <c r="I140" s="2">
        <f>작업!K140</f>
        <v>1</v>
      </c>
      <c r="J140" s="2" t="str">
        <f>작업!L140</f>
        <v>https://ebsi.co.kr/ebs/lms/player/retrieveLmsPlayerHtml5Simple.ebs?medUrl=https://WSTR.ebsi.co.kr/M41M2201/S20220000415/S20220000415_1M4_100030027367.mp4&amp;strStartTm=2329&amp;pType=2</v>
      </c>
    </row>
    <row r="141" spans="1:10" x14ac:dyDescent="0.3">
      <c r="A141" s="2" t="str">
        <f>작업!E141</f>
        <v>수학Ⅱ</v>
      </c>
      <c r="B141" s="2" t="str">
        <f>작업!F141</f>
        <v>3. 적분</v>
      </c>
      <c r="C141" s="2" t="str">
        <f>작업!G141</f>
        <v>L. 정적분</v>
      </c>
      <c r="D141" s="2" t="str">
        <f>작업!H141</f>
        <v>곡선 사이의 넓이</v>
      </c>
      <c r="E141" s="2" t="str">
        <f>작업!C141&amp;"("&amp;VLOOKUP(작업!D141,작업!$N$2:$O$6,2,0)&amp;")"</f>
        <v>20230920(♥♥♥♥)</v>
      </c>
      <c r="F141" s="2" t="str">
        <f>작업!I141</f>
        <v>mun/20230920.png</v>
      </c>
      <c r="G141" s="2">
        <f>작업!J141</f>
        <v>80</v>
      </c>
      <c r="H141" s="2">
        <f>작업!D141</f>
        <v>4</v>
      </c>
      <c r="I141" s="2">
        <f>작업!K141</f>
        <v>1</v>
      </c>
      <c r="J141" s="2" t="str">
        <f>작업!L141</f>
        <v>https://ebsi.co.kr/ebs/lms/player/retrieveLmsPlayerHtml5Simple.ebs?medUrl=https://WSTR.ebsi.co.kr/M41M2201/S20220000415/S20220000415_1M4_100030027367.mp4&amp;strStartTm=2620&amp;pType=2</v>
      </c>
    </row>
    <row r="142" spans="1:10" x14ac:dyDescent="0.3">
      <c r="A142" s="2" t="str">
        <f>작업!E142</f>
        <v>수학Ⅰ</v>
      </c>
      <c r="B142" s="2" t="str">
        <f>작업!F142</f>
        <v>1. 지수함수와 로그함수</v>
      </c>
      <c r="C142" s="2" t="str">
        <f>작업!G142</f>
        <v>B. 지수함수와 로그함수</v>
      </c>
      <c r="D142" s="2" t="str">
        <f>작업!H142</f>
        <v>그래프에서 도형의 성질</v>
      </c>
      <c r="E142" s="2" t="str">
        <f>작업!C142&amp;"("&amp;VLOOKUP(작업!D142,작업!$N$2:$O$6,2,0)&amp;")"</f>
        <v>20230921(♥♥♥♥)</v>
      </c>
      <c r="F142" s="2" t="str">
        <f>작업!I142</f>
        <v>mun/20230921.png</v>
      </c>
      <c r="G142" s="2">
        <f>작업!J142</f>
        <v>220</v>
      </c>
      <c r="H142" s="2">
        <f>작업!D142</f>
        <v>4</v>
      </c>
      <c r="I142" s="2">
        <f>작업!K142</f>
        <v>1</v>
      </c>
      <c r="J142" s="2" t="str">
        <f>작업!L142</f>
        <v>https://ebsi.co.kr/ebs/lms/player/retrieveLmsPlayerHtml5Simple.ebs?medUrl=https://WSTR.ebsi.co.kr/M41M2201/S20220000415/S20220000415_1M4_100030027366.mp4&amp;strStartTm=3869&amp;pType=2</v>
      </c>
    </row>
    <row r="143" spans="1:10" x14ac:dyDescent="0.3">
      <c r="A143" s="2" t="str">
        <f>작업!E143</f>
        <v>수학Ⅱ</v>
      </c>
      <c r="B143" s="2" t="str">
        <f>작업!F143</f>
        <v>2. 미분</v>
      </c>
      <c r="C143" s="2" t="str">
        <f>작업!G143</f>
        <v>J. 도함수의 활용</v>
      </c>
      <c r="D143" s="2" t="str">
        <f>작업!H143</f>
        <v>함수의 추론</v>
      </c>
      <c r="E143" s="2" t="str">
        <f>작업!C143&amp;"("&amp;VLOOKUP(작업!D143,작업!$N$2:$O$6,2,0)&amp;")"</f>
        <v>20230922(♥♥♥♥♥)</v>
      </c>
      <c r="F143" s="2" t="str">
        <f>작업!I143</f>
        <v>mun/20230922.png</v>
      </c>
      <c r="G143" s="2">
        <f>작업!J143</f>
        <v>58</v>
      </c>
      <c r="H143" s="2">
        <f>작업!D143</f>
        <v>5</v>
      </c>
      <c r="I143" s="2">
        <f>작업!K143</f>
        <v>1</v>
      </c>
      <c r="J143" s="2" t="str">
        <f>작업!L143</f>
        <v>https://ebsi.co.kr/ebs/lms/player/retrieveLmsPlayerHtml5Simple.ebs?medUrl=https://WSTR.ebsi.co.kr/M41M2201/S20220000415/S20220000415_1M4_100030027367.mp4&amp;strStartTm=3428&amp;pType=2</v>
      </c>
    </row>
    <row r="144" spans="1:10" x14ac:dyDescent="0.3">
      <c r="A144" s="2" t="str">
        <f>작업!E144</f>
        <v>확률과 통계</v>
      </c>
      <c r="B144" s="2" t="str">
        <f>작업!F144</f>
        <v>1. 경우의 수</v>
      </c>
      <c r="C144" s="2" t="str">
        <f>작업!G144</f>
        <v>N. 이항정리와 이항계수</v>
      </c>
      <c r="D144" s="2" t="str">
        <f>작업!H144</f>
        <v>전개식의 계수</v>
      </c>
      <c r="E144" s="2" t="str">
        <f>작업!C144&amp;"("&amp;VLOOKUP(작업!D144,작업!$N$2:$O$6,2,0)&amp;")"</f>
        <v>20230923(♥)</v>
      </c>
      <c r="F144" s="2" t="str">
        <f>작업!I144</f>
        <v>mun/20230923.png</v>
      </c>
      <c r="G144" s="2">
        <f>작업!J144</f>
        <v>1</v>
      </c>
      <c r="H144" s="2">
        <f>작업!D144</f>
        <v>1</v>
      </c>
      <c r="I144" s="2">
        <f>작업!K144</f>
        <v>1</v>
      </c>
      <c r="J144" s="2" t="str">
        <f>작업!L144</f>
        <v>https://ebsi.co.kr/ebs/lms/player/retrieveLmsPlayerHtml5Simple.ebs?medUrl=https://WSTR.ebsi.co.kr/M41M2201/S20220000415/S20220000415_1M4_100030027368.mp4&amp;strStartTm=325&amp;pType=2</v>
      </c>
    </row>
    <row r="145" spans="1:10" x14ac:dyDescent="0.3">
      <c r="A145" s="2" t="str">
        <f>작업!E145</f>
        <v>확률과 통계</v>
      </c>
      <c r="B145" s="2" t="str">
        <f>작업!F145</f>
        <v>2. 확률</v>
      </c>
      <c r="C145" s="2" t="str">
        <f>작업!G145</f>
        <v>O. 수학적 확률</v>
      </c>
      <c r="D145" s="2" t="str">
        <f>작업!H145</f>
        <v>수학적 확률</v>
      </c>
      <c r="E145" s="2" t="str">
        <f>작업!C145&amp;"("&amp;VLOOKUP(작업!D145,작업!$N$2:$O$6,2,0)&amp;")"</f>
        <v>20250925(♥♥)</v>
      </c>
      <c r="F145" s="2" t="str">
        <f>작업!I145</f>
        <v>mun/20250925.png</v>
      </c>
      <c r="G145" s="2">
        <f>작업!J145</f>
        <v>5</v>
      </c>
      <c r="H145" s="2">
        <f>작업!D145</f>
        <v>2</v>
      </c>
      <c r="I145" s="2">
        <f>작업!K145</f>
        <v>1</v>
      </c>
      <c r="J145" s="2" t="str">
        <f>작업!L145</f>
        <v>https://ebsi.co.kr/ebs/lms/player/retrieveLmsPlayerHtml5Simple.ebs?medUrl=https://WSTR.ebsi.co.kr/M41M2401/S20240000528/S20240000528_1M4_100030058242.mp4&amp;strStartTm=492&amp;pType=2</v>
      </c>
    </row>
    <row r="146" spans="1:10" x14ac:dyDescent="0.3">
      <c r="A146" s="2" t="str">
        <f>작업!E146</f>
        <v>확률과 통계</v>
      </c>
      <c r="B146" s="2" t="str">
        <f>작업!F146</f>
        <v>2. 확률</v>
      </c>
      <c r="C146" s="2" t="str">
        <f>작업!G146</f>
        <v>O. 수학적 확률</v>
      </c>
      <c r="D146" s="2" t="str">
        <f>작업!H146</f>
        <v>수학적 확률</v>
      </c>
      <c r="E146" s="2" t="str">
        <f>작업!C146&amp;"("&amp;VLOOKUP(작업!D146,작업!$N$2:$O$6,2,0)&amp;")"</f>
        <v>20251126(♥♥)</v>
      </c>
      <c r="F146" s="2" t="str">
        <f>작업!I146</f>
        <v>mun/20251126.png</v>
      </c>
      <c r="G146" s="2">
        <f>작업!J146</f>
        <v>3</v>
      </c>
      <c r="H146" s="2">
        <f>작업!D146</f>
        <v>2</v>
      </c>
      <c r="I146" s="2">
        <f>작업!K146</f>
        <v>1</v>
      </c>
      <c r="J146" s="2" t="str">
        <f>작업!L146</f>
        <v>https://ebsi.co.kr/ebs/lms/player/retrieveLmsPlayerHtml5Simple.ebs?medUrl=https://WSTR.ebsi.co.kr/M41M2401/S20240000737/S20240000737_1M4_100030059809.mp4&amp;strStartTm=682&amp;pType=2</v>
      </c>
    </row>
    <row r="147" spans="1:10" x14ac:dyDescent="0.3">
      <c r="A147" s="2" t="str">
        <f>작업!E147</f>
        <v>확률과 통계</v>
      </c>
      <c r="B147" s="2" t="str">
        <f>작업!F147</f>
        <v>1. 경우의 수</v>
      </c>
      <c r="C147" s="2" t="str">
        <f>작업!G147</f>
        <v>M. 여러 가지 순열과 중복 조합</v>
      </c>
      <c r="D147" s="2" t="str">
        <f>작업!H147</f>
        <v>원순열</v>
      </c>
      <c r="E147" s="2" t="str">
        <f>작업!C147&amp;"("&amp;VLOOKUP(작업!D147,작업!$N$2:$O$6,2,0)&amp;")"</f>
        <v>20230926(♥♥)</v>
      </c>
      <c r="F147" s="2" t="str">
        <f>작업!I147</f>
        <v>mun/20230926.png</v>
      </c>
      <c r="G147" s="2">
        <f>작업!J147</f>
        <v>2</v>
      </c>
      <c r="H147" s="2">
        <f>작업!D147</f>
        <v>2</v>
      </c>
      <c r="I147" s="2">
        <f>작업!K147</f>
        <v>1</v>
      </c>
      <c r="J147" s="2" t="str">
        <f>작업!L147</f>
        <v>https://ebsi.co.kr/ebs/lms/player/retrieveLmsPlayerHtml5Simple.ebs?medUrl=https://WSTR.ebsi.co.kr/M41M2201/S20220000415/S20220000415_1M4_100030027368.mp4&amp;strStartTm=1191&amp;pType=2</v>
      </c>
    </row>
    <row r="148" spans="1:10" x14ac:dyDescent="0.3">
      <c r="A148" s="2" t="str">
        <f>작업!E148</f>
        <v>확률과 통계</v>
      </c>
      <c r="B148" s="2" t="str">
        <f>작업!F148</f>
        <v>2. 확률</v>
      </c>
      <c r="C148" s="2" t="str">
        <f>작업!G148</f>
        <v>O. 수학적 확률</v>
      </c>
      <c r="D148" s="2" t="str">
        <f>작업!H148</f>
        <v>수학적 확률</v>
      </c>
      <c r="E148" s="2" t="str">
        <f>작업!C148&amp;"("&amp;VLOOKUP(작업!D148,작업!$N$2:$O$6,2,0)&amp;")"</f>
        <v>20251130(♥♥♥♥♥)</v>
      </c>
      <c r="F148" s="2" t="str">
        <f>작업!I148</f>
        <v>mun/20251130.png</v>
      </c>
      <c r="G148" s="2">
        <f>작업!J148</f>
        <v>19</v>
      </c>
      <c r="H148" s="2">
        <f>작업!D148</f>
        <v>5</v>
      </c>
      <c r="I148" s="2">
        <f>작업!K148</f>
        <v>1</v>
      </c>
      <c r="J148" s="2" t="str">
        <f>작업!L148</f>
        <v>https://ebsi.co.kr/ebs/lms/player/retrieveLmsPlayerHtml5Simple.ebs?medUrl=https://WSTR.ebsi.co.kr/M41M2401/S20240000737/S20240000737_1M4_100030059809.mp4&amp;strStartTm=2323&amp;pType=2</v>
      </c>
    </row>
    <row r="149" spans="1:10" x14ac:dyDescent="0.3">
      <c r="A149" s="2" t="str">
        <f>작업!E149</f>
        <v>확률과 통계</v>
      </c>
      <c r="B149" s="2" t="str">
        <f>작업!F149</f>
        <v>2. 확률</v>
      </c>
      <c r="C149" s="2" t="str">
        <f>작업!G149</f>
        <v>P. 조건부 확률</v>
      </c>
      <c r="D149" s="2" t="str">
        <f>작업!H149</f>
        <v>독립과 종속</v>
      </c>
      <c r="E149" s="2" t="str">
        <f>작업!C149&amp;"("&amp;VLOOKUP(작업!D149,작업!$N$2:$O$6,2,0)&amp;")"</f>
        <v>20221130(♥♥♥♥♥)</v>
      </c>
      <c r="F149" s="2" t="str">
        <f>작업!I149</f>
        <v>mun/20221130.png</v>
      </c>
      <c r="G149" s="2">
        <f>작업!J149</f>
        <v>191</v>
      </c>
      <c r="H149" s="2">
        <f>작업!D149</f>
        <v>5</v>
      </c>
      <c r="I149" s="2">
        <f>작업!K149</f>
        <v>1</v>
      </c>
      <c r="J149" s="2" t="str">
        <f>작업!L149</f>
        <v>https://ebsi.co.kr/ebs/lms/player/retrieveLmsPlayerHtml5Simple.ebs?medUrl=https://WSTR.ebsi.co.kr/M41M2101/S20210001189/S20210001189_1M4_100030011708.mp4&amp;strStartTm=3086&amp;pType=2</v>
      </c>
    </row>
    <row r="150" spans="1:10" x14ac:dyDescent="0.3">
      <c r="A150" s="2" t="str">
        <f>작업!E150</f>
        <v>확률과 통계</v>
      </c>
      <c r="B150" s="2" t="str">
        <f>작업!F150</f>
        <v>2. 확률</v>
      </c>
      <c r="C150" s="2" t="str">
        <f>작업!G150</f>
        <v>P. 조건부 확률</v>
      </c>
      <c r="D150" s="2" t="str">
        <f>작업!H150</f>
        <v>독립과 종속</v>
      </c>
      <c r="E150" s="2" t="str">
        <f>작업!C150&amp;"("&amp;VLOOKUP(작업!D150,작업!$N$2:$O$6,2,0)&amp;")"</f>
        <v>20230625(♥♥)</v>
      </c>
      <c r="F150" s="2" t="str">
        <f>작업!I150</f>
        <v>mun/20230625.png</v>
      </c>
      <c r="G150" s="2">
        <f>작업!J150</f>
        <v>4</v>
      </c>
      <c r="H150" s="2">
        <f>작업!D150</f>
        <v>2</v>
      </c>
      <c r="I150" s="2">
        <f>작업!K150</f>
        <v>1</v>
      </c>
      <c r="J150" s="2" t="str">
        <f>작업!L150</f>
        <v>https://ebsi.co.kr/ebs/lms/player/retrieveLmsPlayerHtml5Simple.ebs?medUrl=https://WSTR.ebsi.co.kr/M41M2201/S20220000268/S20220000268_1M4_100030024244.mp4&amp;strStartTm=631&amp;pType=2</v>
      </c>
    </row>
    <row r="151" spans="1:10" x14ac:dyDescent="0.3">
      <c r="A151" s="2" t="str">
        <f>작업!E151</f>
        <v>확률과 통계</v>
      </c>
      <c r="B151" s="2" t="str">
        <f>작업!F151</f>
        <v>1. 경우의 수</v>
      </c>
      <c r="C151" s="2" t="str">
        <f>작업!G151</f>
        <v>M. 여러 가지 순열과 중복 조합</v>
      </c>
      <c r="D151" s="2" t="str">
        <f>작업!H151</f>
        <v>중복 순열</v>
      </c>
      <c r="E151" s="2" t="str">
        <f>작업!C151&amp;"("&amp;VLOOKUP(작업!D151,작업!$N$2:$O$6,2,0)&amp;")"</f>
        <v>20230930(♥♥♥♥♥)</v>
      </c>
      <c r="F151" s="2" t="str">
        <f>작업!I151</f>
        <v>mun/20230930.png</v>
      </c>
      <c r="G151" s="2">
        <f>작업!J151</f>
        <v>260</v>
      </c>
      <c r="H151" s="2">
        <f>작업!D151</f>
        <v>5</v>
      </c>
      <c r="I151" s="2">
        <f>작업!K151</f>
        <v>1</v>
      </c>
      <c r="J151" s="2" t="str">
        <f>작업!L151</f>
        <v>https://ebsi.co.kr/ebs/lms/player/retrieveLmsPlayerHtml5Simple.ebs?medUrl=https://WSTR.ebsi.co.kr/M41M2201/S20220000415/S20220000415_1M4_100030027368.mp4&amp;strStartTm=3049&amp;pType=2</v>
      </c>
    </row>
    <row r="152" spans="1:10" x14ac:dyDescent="0.3">
      <c r="A152" s="2" t="str">
        <f>작업!E152</f>
        <v>수학Ⅰ</v>
      </c>
      <c r="B152" s="2" t="str">
        <f>작업!F152</f>
        <v>1. 지수함수와 로그함수</v>
      </c>
      <c r="C152" s="2" t="str">
        <f>작업!G152</f>
        <v>A. 지수와 로그</v>
      </c>
      <c r="D152" s="2" t="str">
        <f>작업!H152</f>
        <v>지수의 연산</v>
      </c>
      <c r="E152" s="2" t="str">
        <f>작업!C152&amp;"("&amp;VLOOKUP(작업!D152,작업!$N$2:$O$6,2,0)&amp;")"</f>
        <v>20231101(♥)</v>
      </c>
      <c r="F152" s="2" t="str">
        <f>작업!I152</f>
        <v>mun/20231101.png</v>
      </c>
      <c r="G152" s="2">
        <f>작업!J152</f>
        <v>5</v>
      </c>
      <c r="H152" s="2">
        <f>작업!D152</f>
        <v>1</v>
      </c>
      <c r="I152" s="2">
        <f>작업!K152</f>
        <v>1</v>
      </c>
      <c r="J152" s="2" t="str">
        <f>작업!L152</f>
        <v>https://ebsi.co.kr/ebs/lms/player/retrieveLmsPlayerHtml5Simple.ebs?medUrl=https://WSTR.ebsi.co.kr/M41M2201/S20220000620/S20220000620_1M4_100030028820.mp4&amp;strStartTm=277&amp;pType=2</v>
      </c>
    </row>
    <row r="153" spans="1:10" x14ac:dyDescent="0.3">
      <c r="A153" s="2" t="str">
        <f>작업!E153</f>
        <v>수학Ⅱ</v>
      </c>
      <c r="B153" s="2" t="str">
        <f>작업!F153</f>
        <v>1. 함수의 극한과 연속</v>
      </c>
      <c r="C153" s="2" t="str">
        <f>작업!G153</f>
        <v>G. 함수의 극한</v>
      </c>
      <c r="D153" s="2" t="str">
        <f>작업!H153</f>
        <v>함수의 극한</v>
      </c>
      <c r="E153" s="2" t="str">
        <f>작업!C153&amp;"("&amp;VLOOKUP(작업!D153,작업!$N$2:$O$6,2,0)&amp;")"</f>
        <v>20231102(♥)</v>
      </c>
      <c r="F153" s="2" t="str">
        <f>작업!I153</f>
        <v>mun/20231102.png</v>
      </c>
      <c r="G153" s="2">
        <f>작업!J153</f>
        <v>4</v>
      </c>
      <c r="H153" s="2">
        <f>작업!D153</f>
        <v>1</v>
      </c>
      <c r="I153" s="2">
        <f>작업!K153</f>
        <v>1</v>
      </c>
      <c r="J153" s="2" t="str">
        <f>작업!L153</f>
        <v>https://ebsi.co.kr/ebs/lms/player/retrieveLmsPlayerHtml5Simple.ebs?medUrl=https://WSTR.ebsi.co.kr/M41M2201/S20220000620/S20220000620_1M4_100030028821.mp4&amp;strStartTm=566&amp;pType=2</v>
      </c>
    </row>
    <row r="154" spans="1:10" x14ac:dyDescent="0.3">
      <c r="A154" s="2" t="str">
        <f>작업!E154</f>
        <v>수학Ⅰ</v>
      </c>
      <c r="B154" s="2" t="str">
        <f>작업!F154</f>
        <v>3. 수열</v>
      </c>
      <c r="C154" s="2" t="str">
        <f>작업!G154</f>
        <v>D. 등차수열과 등비수열</v>
      </c>
      <c r="D154" s="2" t="str">
        <f>작업!H154</f>
        <v>등비수열</v>
      </c>
      <c r="E154" s="2" t="str">
        <f>작업!C154&amp;"("&amp;VLOOKUP(작업!D154,작업!$N$2:$O$6,2,0)&amp;")"</f>
        <v>20231103(♥)</v>
      </c>
      <c r="F154" s="2" t="str">
        <f>작업!I154</f>
        <v>mun/20231103.png</v>
      </c>
      <c r="G154" s="2">
        <f>작업!J154</f>
        <v>1</v>
      </c>
      <c r="H154" s="2">
        <f>작업!D154</f>
        <v>1</v>
      </c>
      <c r="I154" s="2">
        <f>작업!K154</f>
        <v>1</v>
      </c>
      <c r="J154" s="2" t="str">
        <f>작업!L154</f>
        <v>https://ebsi.co.kr/ebs/lms/player/retrieveLmsPlayerHtml5Simple.ebs?medUrl=https://WSTR.ebsi.co.kr/M41M2201/S20220000620/S20220000620_1M4_100030028820.mp4&amp;strStartTm=403&amp;pType=2</v>
      </c>
    </row>
    <row r="155" spans="1:10" x14ac:dyDescent="0.3">
      <c r="A155" s="2" t="str">
        <f>작업!E155</f>
        <v>수학Ⅱ</v>
      </c>
      <c r="B155" s="2" t="str">
        <f>작업!F155</f>
        <v>2. 미분</v>
      </c>
      <c r="C155" s="2" t="str">
        <f>작업!G155</f>
        <v>I. 도함수</v>
      </c>
      <c r="D155" s="2" t="str">
        <f>작업!H155</f>
        <v>곱함수의 미분법</v>
      </c>
      <c r="E155" s="2" t="str">
        <f>작업!C155&amp;"("&amp;VLOOKUP(작업!D155,작업!$N$2:$O$6,2,0)&amp;")"</f>
        <v>20231104(♥♥)</v>
      </c>
      <c r="F155" s="2" t="str">
        <f>작업!I155</f>
        <v>mun/20231104.png</v>
      </c>
      <c r="G155" s="2">
        <f>작업!J155</f>
        <v>3</v>
      </c>
      <c r="H155" s="2">
        <f>작업!D155</f>
        <v>2</v>
      </c>
      <c r="I155" s="2">
        <f>작업!K155</f>
        <v>1</v>
      </c>
      <c r="J155" s="2" t="str">
        <f>작업!L155</f>
        <v>https://ebsi.co.kr/ebs/lms/player/retrieveLmsPlayerHtml5Simple.ebs?medUrl=https://WSTR.ebsi.co.kr/M41M2201/S20220000620/S20220000620_1M4_100030028821.mp4&amp;strStartTm=686&amp;pType=2</v>
      </c>
    </row>
    <row r="156" spans="1:10" x14ac:dyDescent="0.3">
      <c r="A156" s="2" t="str">
        <f>작업!E156</f>
        <v>수학Ⅰ</v>
      </c>
      <c r="B156" s="2" t="str">
        <f>작업!F156</f>
        <v>2. 삼각함수</v>
      </c>
      <c r="C156" s="2" t="str">
        <f>작업!G156</f>
        <v>C. 삼각함수</v>
      </c>
      <c r="D156" s="2" t="str">
        <f>작업!H156</f>
        <v>삼각함수의 값</v>
      </c>
      <c r="E156" s="2" t="str">
        <f>작업!C156&amp;"("&amp;VLOOKUP(작업!D156,작업!$N$2:$O$6,2,0)&amp;")"</f>
        <v>20231105(♥♥)</v>
      </c>
      <c r="F156" s="2" t="str">
        <f>작업!I156</f>
        <v>mun/20231105.png</v>
      </c>
      <c r="G156" s="2">
        <f>작업!J156</f>
        <v>5</v>
      </c>
      <c r="H156" s="2">
        <f>작업!D156</f>
        <v>2</v>
      </c>
      <c r="I156" s="2">
        <f>작업!K156</f>
        <v>1</v>
      </c>
      <c r="J156" s="2" t="str">
        <f>작업!L156</f>
        <v>https://ebsi.co.kr/ebs/lms/player/retrieveLmsPlayerHtml5Simple.ebs?medUrl=https://WSTR.ebsi.co.kr/M41M2201/S20220000620/S20220000620_1M4_100030028820.mp4&amp;strStartTm=648&amp;pType=2</v>
      </c>
    </row>
    <row r="157" spans="1:10" x14ac:dyDescent="0.3">
      <c r="A157" s="2" t="str">
        <f>작업!E157</f>
        <v>수학Ⅱ</v>
      </c>
      <c r="B157" s="2" t="str">
        <f>작업!F157</f>
        <v>2. 미분</v>
      </c>
      <c r="C157" s="2" t="str">
        <f>작업!G157</f>
        <v>J. 도함수의 활용</v>
      </c>
      <c r="D157" s="2" t="str">
        <f>작업!H157</f>
        <v>극대와 극소</v>
      </c>
      <c r="E157" s="2" t="str">
        <f>작업!C157&amp;"("&amp;VLOOKUP(작업!D157,작업!$N$2:$O$6,2,0)&amp;")"</f>
        <v>20231106(♥♥)</v>
      </c>
      <c r="F157" s="2" t="str">
        <f>작업!I157</f>
        <v>mun/20231106.png</v>
      </c>
      <c r="G157" s="2">
        <f>작업!J157</f>
        <v>2</v>
      </c>
      <c r="H157" s="2">
        <f>작업!D157</f>
        <v>2</v>
      </c>
      <c r="I157" s="2">
        <f>작업!K157</f>
        <v>1</v>
      </c>
      <c r="J157" s="2" t="str">
        <f>작업!L157</f>
        <v>https://ebsi.co.kr/ebs/lms/player/retrieveLmsPlayerHtml5Simple.ebs?medUrl=https://WSTR.ebsi.co.kr/M41M2201/S20220000620/S20220000620_1M4_100030028821.mp4&amp;strStartTm=761&amp;pType=2</v>
      </c>
    </row>
    <row r="158" spans="1:10" x14ac:dyDescent="0.3">
      <c r="A158" s="2" t="str">
        <f>작업!E158</f>
        <v>수학Ⅰ</v>
      </c>
      <c r="B158" s="2" t="str">
        <f>작업!F158</f>
        <v>3. 수열</v>
      </c>
      <c r="C158" s="2" t="str">
        <f>작업!G158</f>
        <v>E. 수열의 합</v>
      </c>
      <c r="D158" s="2" t="str">
        <f>작업!H158</f>
        <v>여러 가지 수열의 합</v>
      </c>
      <c r="E158" s="2" t="str">
        <f>작업!C158&amp;"("&amp;VLOOKUP(작업!D158,작업!$N$2:$O$6,2,0)&amp;")"</f>
        <v>20231107(♥♥)</v>
      </c>
      <c r="F158" s="2" t="str">
        <f>작업!I158</f>
        <v>mun/20231107.png</v>
      </c>
      <c r="G158" s="2">
        <f>작업!J158</f>
        <v>4</v>
      </c>
      <c r="H158" s="2">
        <f>작업!D158</f>
        <v>2</v>
      </c>
      <c r="I158" s="2">
        <f>작업!K158</f>
        <v>1</v>
      </c>
      <c r="J158" s="2" t="str">
        <f>작업!L158</f>
        <v>https://ebsi.co.kr/ebs/lms/player/retrieveLmsPlayerHtml5Simple.ebs?medUrl=https://WSTR.ebsi.co.kr/M41M2201/S20220000620/S20220000620_1M4_100030028820.mp4&amp;strStartTm=944&amp;pType=2</v>
      </c>
    </row>
    <row r="159" spans="1:10" x14ac:dyDescent="0.3">
      <c r="A159" s="2" t="str">
        <f>작업!E159</f>
        <v>수학Ⅱ</v>
      </c>
      <c r="B159" s="2" t="str">
        <f>작업!F159</f>
        <v>2. 미분</v>
      </c>
      <c r="C159" s="2" t="str">
        <f>작업!G159</f>
        <v>J. 도함수의 활용</v>
      </c>
      <c r="D159" s="2" t="str">
        <f>작업!H159</f>
        <v>접선의 방정식</v>
      </c>
      <c r="E159" s="2" t="str">
        <f>작업!C159&amp;"("&amp;VLOOKUP(작업!D159,작업!$N$2:$O$6,2,0)&amp;")"</f>
        <v>20231108(♥♥)</v>
      </c>
      <c r="F159" s="2" t="str">
        <f>작업!I159</f>
        <v>mun/20231108.png</v>
      </c>
      <c r="G159" s="2">
        <f>작업!J159</f>
        <v>4</v>
      </c>
      <c r="H159" s="2">
        <f>작업!D159</f>
        <v>2</v>
      </c>
      <c r="I159" s="2">
        <f>작업!K159</f>
        <v>1</v>
      </c>
      <c r="J159" s="2" t="str">
        <f>작업!L159</f>
        <v>https://ebsi.co.kr/ebs/lms/player/retrieveLmsPlayerHtml5Simple.ebs?medUrl=https://WSTR.ebsi.co.kr/M41M2201/S20220000620/S20220000620_1M4_100030028821.mp4&amp;strStartTm=878&amp;pType=2</v>
      </c>
    </row>
    <row r="160" spans="1:10" x14ac:dyDescent="0.3">
      <c r="A160" s="2" t="str">
        <f>작업!E160</f>
        <v>수학Ⅰ</v>
      </c>
      <c r="B160" s="2" t="str">
        <f>작업!F160</f>
        <v>2. 삼각함수</v>
      </c>
      <c r="C160" s="2" t="str">
        <f>작업!G160</f>
        <v>C. 삼각함수</v>
      </c>
      <c r="D160" s="2" t="str">
        <f>작업!H160</f>
        <v>함수의 최대 또는 최소</v>
      </c>
      <c r="E160" s="2" t="str">
        <f>작업!C160&amp;"("&amp;VLOOKUP(작업!D160,작업!$N$2:$O$6,2,0)&amp;")"</f>
        <v>20231109(♥♥♥)</v>
      </c>
      <c r="F160" s="2" t="str">
        <f>작업!I160</f>
        <v>mun/20231109.png</v>
      </c>
      <c r="G160" s="2">
        <f>작업!J160</f>
        <v>3</v>
      </c>
      <c r="H160" s="2">
        <f>작업!D160</f>
        <v>3</v>
      </c>
      <c r="I160" s="2">
        <f>작업!K160</f>
        <v>1</v>
      </c>
      <c r="J160" s="2" t="str">
        <f>작업!L160</f>
        <v>https://ebsi.co.kr/ebs/lms/player/retrieveLmsPlayerHtml5Simple.ebs?medUrl=https://WSTR.ebsi.co.kr/M41M2201/S20220000620/S20220000620_1M4_100030028820.mp4&amp;strStartTm=1396&amp;pType=2</v>
      </c>
    </row>
    <row r="161" spans="1:10" x14ac:dyDescent="0.3">
      <c r="A161" s="2" t="str">
        <f>작업!E161</f>
        <v>수학Ⅱ</v>
      </c>
      <c r="B161" s="2" t="str">
        <f>작업!F161</f>
        <v>3. 적분</v>
      </c>
      <c r="C161" s="2" t="str">
        <f>작업!G161</f>
        <v>L. 정적분</v>
      </c>
      <c r="D161" s="2" t="str">
        <f>작업!H161</f>
        <v>곡선 사이의 넓이</v>
      </c>
      <c r="E161" s="2" t="str">
        <f>작업!C161&amp;"("&amp;VLOOKUP(작업!D161,작업!$N$2:$O$6,2,0)&amp;")"</f>
        <v>20231110(♥♥♥)</v>
      </c>
      <c r="F161" s="2" t="str">
        <f>작업!I161</f>
        <v>mun/20231110.png</v>
      </c>
      <c r="G161" s="2">
        <f>작업!J161</f>
        <v>4</v>
      </c>
      <c r="H161" s="2">
        <f>작업!D161</f>
        <v>3</v>
      </c>
      <c r="I161" s="2">
        <f>작업!K161</f>
        <v>1</v>
      </c>
      <c r="J161" s="2" t="str">
        <f>작업!L161</f>
        <v>https://ebsi.co.kr/ebs/lms/player/retrieveLmsPlayerHtml5Simple.ebs?medUrl=https://WSTR.ebsi.co.kr/M41M2201/S20220000620/S20220000620_1M4_100030028821.mp4&amp;strStartTm=1138&amp;pType=2</v>
      </c>
    </row>
    <row r="162" spans="1:10" x14ac:dyDescent="0.3">
      <c r="A162" s="2" t="str">
        <f>작업!E162</f>
        <v>수학Ⅰ</v>
      </c>
      <c r="B162" s="2" t="str">
        <f>작업!F162</f>
        <v>2. 삼각함수</v>
      </c>
      <c r="C162" s="2" t="str">
        <f>작업!G162</f>
        <v>C. 삼각함수</v>
      </c>
      <c r="D162" s="2" t="str">
        <f>작업!H162</f>
        <v>사인법칙과 코사인법칙</v>
      </c>
      <c r="E162" s="2" t="str">
        <f>작업!C162&amp;"("&amp;VLOOKUP(작업!D162,작업!$N$2:$O$6,2,0)&amp;")"</f>
        <v>20231111(♥♥♥)</v>
      </c>
      <c r="F162" s="2" t="str">
        <f>작업!I162</f>
        <v>mun/20231111.png</v>
      </c>
      <c r="G162" s="2">
        <f>작업!J162</f>
        <v>1</v>
      </c>
      <c r="H162" s="2">
        <f>작업!D162</f>
        <v>3</v>
      </c>
      <c r="I162" s="2">
        <f>작업!K162</f>
        <v>1</v>
      </c>
      <c r="J162" s="2" t="str">
        <f>작업!L162</f>
        <v>https://ebsi.co.kr/ebs/lms/player/retrieveLmsPlayerHtml5Simple.ebs?medUrl=https://WSTR.ebsi.co.kr/M41M2201/S20220000620/S20220000620_1M4_100030028820.mp4&amp;strStartTm=1715&amp;pType=2</v>
      </c>
    </row>
    <row r="163" spans="1:10" x14ac:dyDescent="0.3">
      <c r="A163" s="2" t="str">
        <f>작업!E163</f>
        <v>수학Ⅱ</v>
      </c>
      <c r="B163" s="2" t="str">
        <f>작업!F163</f>
        <v>3. 적분</v>
      </c>
      <c r="C163" s="2" t="str">
        <f>작업!G163</f>
        <v>L. 정적분</v>
      </c>
      <c r="D163" s="2" t="str">
        <f>작업!H163</f>
        <v>미적분학의 기본 정리</v>
      </c>
      <c r="E163" s="2" t="str">
        <f>작업!C163&amp;"("&amp;VLOOKUP(작업!D163,작업!$N$2:$O$6,2,0)&amp;")"</f>
        <v>20231112(♥♥♥♥)</v>
      </c>
      <c r="F163" s="2" t="str">
        <f>작업!I163</f>
        <v>mun/20231112.png</v>
      </c>
      <c r="G163" s="2">
        <f>작업!J163</f>
        <v>2</v>
      </c>
      <c r="H163" s="2">
        <f>작업!D163</f>
        <v>4</v>
      </c>
      <c r="I163" s="2">
        <f>작업!K163</f>
        <v>1</v>
      </c>
      <c r="J163" s="2" t="str">
        <f>작업!L163</f>
        <v>https://ebsi.co.kr/ebs/lms/player/retrieveLmsPlayerHtml5Simple.ebs?medUrl=https://WSTR.ebsi.co.kr/M41M2201/S20220000620/S20220000620_1M4_100030028821.mp4&amp;strStartTm=1332&amp;pType=2</v>
      </c>
    </row>
    <row r="164" spans="1:10" x14ac:dyDescent="0.3">
      <c r="A164" s="2" t="str">
        <f>작업!E164</f>
        <v>수학Ⅰ</v>
      </c>
      <c r="B164" s="2" t="str">
        <f>작업!F164</f>
        <v>1. 지수함수와 로그함수</v>
      </c>
      <c r="C164" s="2" t="str">
        <f>작업!G164</f>
        <v>B. 지수함수와 로그함수</v>
      </c>
      <c r="D164" s="2" t="str">
        <f>작업!H164</f>
        <v>지수, 로그가 정수가 되기 위한 조건</v>
      </c>
      <c r="E164" s="2" t="str">
        <f>작업!C164&amp;"("&amp;VLOOKUP(작업!D164,작업!$N$2:$O$6,2,0)&amp;")"</f>
        <v>20231113(♥♥♥♥)</v>
      </c>
      <c r="F164" s="2" t="str">
        <f>작업!I164</f>
        <v>mun/20231113.png</v>
      </c>
      <c r="G164" s="2">
        <f>작업!J164</f>
        <v>3</v>
      </c>
      <c r="H164" s="2">
        <f>작업!D164</f>
        <v>4</v>
      </c>
      <c r="I164" s="2">
        <f>작업!K164</f>
        <v>1</v>
      </c>
      <c r="J164" s="2" t="str">
        <f>작업!L164</f>
        <v>https://ebsi.co.kr/ebs/lms/player/retrieveLmsPlayerHtml5Simple.ebs?medUrl=https://WSTR.ebsi.co.kr/M41M2201/S20220000620/S20220000620_1M4_100030028820.mp4&amp;strStartTm=2056&amp;pType=2</v>
      </c>
    </row>
    <row r="165" spans="1:10" x14ac:dyDescent="0.3">
      <c r="A165" s="2" t="str">
        <f>작업!E165</f>
        <v>수학Ⅱ</v>
      </c>
      <c r="B165" s="2" t="str">
        <f>작업!F165</f>
        <v>1. 함수의 극한과 연속</v>
      </c>
      <c r="C165" s="2" t="str">
        <f>작업!G165</f>
        <v>H. 함수의 연속</v>
      </c>
      <c r="D165" s="2" t="str">
        <f>작업!H165</f>
        <v>조건을 만족하는 함수의 추론</v>
      </c>
      <c r="E165" s="2" t="str">
        <f>작업!C165&amp;"("&amp;VLOOKUP(작업!D165,작업!$N$2:$O$6,2,0)&amp;")"</f>
        <v>20231114(♥♥♥♥)</v>
      </c>
      <c r="F165" s="2" t="str">
        <f>작업!I165</f>
        <v>mun/20231114.png</v>
      </c>
      <c r="G165" s="2">
        <f>작업!J165</f>
        <v>1</v>
      </c>
      <c r="H165" s="2">
        <f>작업!D165</f>
        <v>4</v>
      </c>
      <c r="I165" s="2">
        <f>작업!K165</f>
        <v>1</v>
      </c>
      <c r="J165" s="2" t="str">
        <f>작업!L165</f>
        <v>https://ebsi.co.kr/ebs/lms/player/retrieveLmsPlayerHtml5Simple.ebs?medUrl=https://WSTR.ebsi.co.kr/M41M2201/S20220000620/S20220000620_1M4_100030028821.mp4&amp;strStartTm=2176&amp;pType=2</v>
      </c>
    </row>
    <row r="166" spans="1:10" x14ac:dyDescent="0.3">
      <c r="A166" s="2" t="str">
        <f>작업!E166</f>
        <v>수학Ⅰ</v>
      </c>
      <c r="B166" s="2" t="str">
        <f>작업!F166</f>
        <v>3. 수열</v>
      </c>
      <c r="C166" s="2" t="str">
        <f>작업!G166</f>
        <v>F. 수학적 귀납법</v>
      </c>
      <c r="D166" s="2" t="str">
        <f>작업!H166</f>
        <v>수열의 귀납적 정의</v>
      </c>
      <c r="E166" s="2" t="str">
        <f>작업!C166&amp;"("&amp;VLOOKUP(작업!D166,작업!$N$2:$O$6,2,0)&amp;")"</f>
        <v>20231115(♥♥♥♥♥)</v>
      </c>
      <c r="F166" s="2" t="str">
        <f>작업!I166</f>
        <v>mun/20231115.png</v>
      </c>
      <c r="G166" s="2">
        <f>작업!J166</f>
        <v>5</v>
      </c>
      <c r="H166" s="2">
        <f>작업!D166</f>
        <v>5</v>
      </c>
      <c r="I166" s="2">
        <f>작업!K166</f>
        <v>1</v>
      </c>
      <c r="J166" s="2" t="str">
        <f>작업!L166</f>
        <v>https://ebsi.co.kr/ebs/lms/player/retrieveLmsPlayerHtml5Simple.ebs?medUrl=https://WSTR.ebsi.co.kr/M41M2201/S20220000620/S20220000620_1M4_100030028820.mp4&amp;strStartTm=2561&amp;pType=2</v>
      </c>
    </row>
    <row r="167" spans="1:10" x14ac:dyDescent="0.3">
      <c r="A167" s="2" t="str">
        <f>작업!E167</f>
        <v>수학Ⅰ</v>
      </c>
      <c r="B167" s="2" t="str">
        <f>작업!F167</f>
        <v>1. 지수함수와 로그함수</v>
      </c>
      <c r="C167" s="2" t="str">
        <f>작업!G167</f>
        <v>B. 지수함수와 로그함수</v>
      </c>
      <c r="D167" s="2" t="str">
        <f>작업!H167</f>
        <v>방정식과 부등식에의 활용</v>
      </c>
      <c r="E167" s="2" t="str">
        <f>작업!C167&amp;"("&amp;VLOOKUP(작업!D167,작업!$N$2:$O$6,2,0)&amp;")"</f>
        <v>20231116(♥)</v>
      </c>
      <c r="F167" s="2" t="str">
        <f>작업!I167</f>
        <v>mun/20231116.png</v>
      </c>
      <c r="G167" s="2">
        <f>작업!J167</f>
        <v>10</v>
      </c>
      <c r="H167" s="2">
        <f>작업!D167</f>
        <v>1</v>
      </c>
      <c r="I167" s="2">
        <f>작업!K167</f>
        <v>1</v>
      </c>
      <c r="J167" s="2" t="str">
        <f>작업!L167</f>
        <v>https://ebsi.co.kr/ebs/lms/player/retrieveLmsPlayerHtml5Simple.ebs?medUrl=https://WSTR.ebsi.co.kr/M41M2201/S20220000620/S20220000620_1M4_100030028820.mp4&amp;strStartTm=3246&amp;pType=2</v>
      </c>
    </row>
    <row r="168" spans="1:10" x14ac:dyDescent="0.3">
      <c r="A168" s="2" t="str">
        <f>작업!E168</f>
        <v>수학Ⅱ</v>
      </c>
      <c r="B168" s="2" t="str">
        <f>작업!F168</f>
        <v>3. 적분</v>
      </c>
      <c r="C168" s="2" t="str">
        <f>작업!G168</f>
        <v>K. 부정적분</v>
      </c>
      <c r="D168" s="2" t="str">
        <f>작업!H168</f>
        <v>부정적분</v>
      </c>
      <c r="E168" s="2" t="str">
        <f>작업!C168&amp;"("&amp;VLOOKUP(작업!D168,작업!$N$2:$O$6,2,0)&amp;")"</f>
        <v>20231117(♥)</v>
      </c>
      <c r="F168" s="2" t="str">
        <f>작업!I168</f>
        <v>mun/20231117.png</v>
      </c>
      <c r="G168" s="2">
        <f>작업!J168</f>
        <v>15</v>
      </c>
      <c r="H168" s="2">
        <f>작업!D168</f>
        <v>1</v>
      </c>
      <c r="I168" s="2">
        <f>작업!K168</f>
        <v>1</v>
      </c>
      <c r="J168" s="2" t="str">
        <f>작업!L168</f>
        <v>https://ebsi.co.kr/ebs/lms/player/retrieveLmsPlayerHtml5Simple.ebs?medUrl=https://WSTR.ebsi.co.kr/M41M2201/S20220000620/S20220000620_1M4_100030028821.mp4&amp;strStartTm=3211&amp;pType=2</v>
      </c>
    </row>
    <row r="169" spans="1:10" x14ac:dyDescent="0.3">
      <c r="A169" s="2" t="str">
        <f>작업!E169</f>
        <v>수학Ⅰ</v>
      </c>
      <c r="B169" s="2" t="str">
        <f>작업!F169</f>
        <v>3. 수열</v>
      </c>
      <c r="C169" s="2" t="str">
        <f>작업!G169</f>
        <v>E. 수열의 합</v>
      </c>
      <c r="D169" s="2" t="str">
        <f>작업!H169</f>
        <v>시그마의 뜻과 성질</v>
      </c>
      <c r="E169" s="2" t="str">
        <f>작업!C169&amp;"("&amp;VLOOKUP(작업!D169,작업!$N$2:$O$6,2,0)&amp;")"</f>
        <v>20231118(♥♥♥)</v>
      </c>
      <c r="F169" s="2" t="str">
        <f>작업!I169</f>
        <v>mun/20231118.png</v>
      </c>
      <c r="G169" s="2">
        <f>작업!J169</f>
        <v>22</v>
      </c>
      <c r="H169" s="2">
        <f>작업!D169</f>
        <v>3</v>
      </c>
      <c r="I169" s="2">
        <f>작업!K169</f>
        <v>1</v>
      </c>
      <c r="J169" s="2" t="str">
        <f>작업!L169</f>
        <v>https://ebsi.co.kr/ebs/lms/player/retrieveLmsPlayerHtml5Simple.ebs?medUrl=https://WSTR.ebsi.co.kr/M41M2201/S20220000620/S20220000620_1M4_100030028820.mp4&amp;strStartTm=3396&amp;pType=2</v>
      </c>
    </row>
    <row r="170" spans="1:10" x14ac:dyDescent="0.3">
      <c r="A170" s="2" t="str">
        <f>작업!E170</f>
        <v>수학Ⅱ</v>
      </c>
      <c r="B170" s="2" t="str">
        <f>작업!F170</f>
        <v>2. 미분</v>
      </c>
      <c r="C170" s="2" t="str">
        <f>작업!G170</f>
        <v>J. 도함수의 활용</v>
      </c>
      <c r="D170" s="2" t="str">
        <f>작업!H170</f>
        <v>방정식과 부등식에의 활용</v>
      </c>
      <c r="E170" s="2" t="str">
        <f>작업!C170&amp;"("&amp;VLOOKUP(작업!D170,작업!$N$2:$O$6,2,0)&amp;")"</f>
        <v>20231119(♥♥♥)</v>
      </c>
      <c r="F170" s="2" t="str">
        <f>작업!I170</f>
        <v>mun/20231119.png</v>
      </c>
      <c r="G170" s="2">
        <f>작업!J170</f>
        <v>7</v>
      </c>
      <c r="H170" s="2">
        <f>작업!D170</f>
        <v>3</v>
      </c>
      <c r="I170" s="2">
        <f>작업!K170</f>
        <v>1</v>
      </c>
      <c r="J170" s="2" t="str">
        <f>작업!L170</f>
        <v>https://ebsi.co.kr/ebs/lms/player/retrieveLmsPlayerHtml5Simple.ebs?medUrl=https://WSTR.ebsi.co.kr/M41M2201/S20220000620/S20220000620_1M4_100030028821.mp4&amp;strStartTm=3246&amp;pType=2</v>
      </c>
    </row>
    <row r="171" spans="1:10" x14ac:dyDescent="0.3">
      <c r="A171" s="2" t="str">
        <f>작업!E171</f>
        <v>수학Ⅱ</v>
      </c>
      <c r="B171" s="2" t="str">
        <f>작업!F171</f>
        <v>3. 적분</v>
      </c>
      <c r="C171" s="2" t="str">
        <f>작업!G171</f>
        <v>L. 정적분</v>
      </c>
      <c r="D171" s="2" t="str">
        <f>작업!H171</f>
        <v>속도와 거리</v>
      </c>
      <c r="E171" s="2" t="str">
        <f>작업!C171&amp;"("&amp;VLOOKUP(작업!D171,작업!$N$2:$O$6,2,0)&amp;")"</f>
        <v>20231120(♥♥♥♥)</v>
      </c>
      <c r="F171" s="2" t="str">
        <f>작업!I171</f>
        <v>mun/20231120.png</v>
      </c>
      <c r="G171" s="2">
        <f>작업!J171</f>
        <v>17</v>
      </c>
      <c r="H171" s="2">
        <f>작업!D171</f>
        <v>4</v>
      </c>
      <c r="I171" s="2">
        <f>작업!K171</f>
        <v>1</v>
      </c>
      <c r="J171" s="2" t="str">
        <f>작업!L171</f>
        <v>https://ebsi.co.kr/ebs/lms/player/retrieveLmsPlayerHtml5Simple.ebs?medUrl=https://WSTR.ebsi.co.kr/M41M2201/S20220000620/S20220000620_1M4_100030028821.mp4&amp;strStartTm=3402&amp;pType=2</v>
      </c>
    </row>
    <row r="172" spans="1:10" x14ac:dyDescent="0.3">
      <c r="A172" s="2" t="str">
        <f>작업!E172</f>
        <v>수학Ⅰ</v>
      </c>
      <c r="B172" s="2" t="str">
        <f>작업!F172</f>
        <v>1. 지수함수와 로그함수</v>
      </c>
      <c r="C172" s="2" t="str">
        <f>작업!G172</f>
        <v>B. 지수함수와 로그함수</v>
      </c>
      <c r="D172" s="2" t="str">
        <f>작업!H172</f>
        <v>로그함수의 그래프</v>
      </c>
      <c r="E172" s="2" t="str">
        <f>작업!C172&amp;"("&amp;VLOOKUP(작업!D172,작업!$N$2:$O$6,2,0)&amp;")"</f>
        <v>20231121(♥♥♥♥)</v>
      </c>
      <c r="F172" s="2" t="str">
        <f>작업!I172</f>
        <v>mun/20231121.png</v>
      </c>
      <c r="G172" s="2">
        <f>작업!J172</f>
        <v>33</v>
      </c>
      <c r="H172" s="2">
        <f>작업!D172</f>
        <v>4</v>
      </c>
      <c r="I172" s="2">
        <f>작업!K172</f>
        <v>1</v>
      </c>
      <c r="J172" s="2" t="str">
        <f>작업!L172</f>
        <v>https://ebsi.co.kr/ebs/lms/player/retrieveLmsPlayerHtml5Simple.ebs?medUrl=https://WSTR.ebsi.co.kr/M41M2201/S20220000620/S20220000620_1M4_100030028820.mp4&amp;strStartTm=3541&amp;pType=2</v>
      </c>
    </row>
    <row r="173" spans="1:10" x14ac:dyDescent="0.3">
      <c r="A173" s="2" t="str">
        <f>작업!E173</f>
        <v>수학Ⅱ</v>
      </c>
      <c r="B173" s="2" t="str">
        <f>작업!F173</f>
        <v>2. 미분</v>
      </c>
      <c r="C173" s="2" t="str">
        <f>작업!G173</f>
        <v>J. 도함수의 활용</v>
      </c>
      <c r="D173" s="2" t="str">
        <f>작업!H173</f>
        <v>함수의 추론</v>
      </c>
      <c r="E173" s="2" t="str">
        <f>작업!C173&amp;"("&amp;VLOOKUP(작업!D173,작업!$N$2:$O$6,2,0)&amp;")"</f>
        <v>20231122(♥♥♥♥♥)</v>
      </c>
      <c r="F173" s="2" t="str">
        <f>작업!I173</f>
        <v>mun/20231122.png</v>
      </c>
      <c r="G173" s="2">
        <f>작업!J173</f>
        <v>13</v>
      </c>
      <c r="H173" s="2">
        <f>작업!D173</f>
        <v>5</v>
      </c>
      <c r="I173" s="2">
        <f>작업!K173</f>
        <v>1</v>
      </c>
      <c r="J173" s="2" t="str">
        <f>작업!L173</f>
        <v>https://ebsi.co.kr/ebs/lms/player/retrieveLmsPlayerHtml5Simple.ebs?medUrl=https://WSTR.ebsi.co.kr/M41M2201/S20220000620/S20220000620_1M4_100030028821.mp4&amp;strStartTm=3562&amp;pType=2</v>
      </c>
    </row>
    <row r="174" spans="1:10" x14ac:dyDescent="0.3">
      <c r="A174" s="2" t="str">
        <f>작업!E174</f>
        <v>확률과 통계</v>
      </c>
      <c r="B174" s="2" t="str">
        <f>작업!F174</f>
        <v>1. 경우의 수</v>
      </c>
      <c r="C174" s="2" t="str">
        <f>작업!G174</f>
        <v>N. 이항정리와 이항계수</v>
      </c>
      <c r="D174" s="2" t="str">
        <f>작업!H174</f>
        <v>전개식의 계수</v>
      </c>
      <c r="E174" s="2" t="str">
        <f>작업!C174&amp;"("&amp;VLOOKUP(작업!D174,작업!$N$2:$O$6,2,0)&amp;")"</f>
        <v>20231123(♥)</v>
      </c>
      <c r="F174" s="2" t="str">
        <f>작업!I174</f>
        <v>mun/20231123.png</v>
      </c>
      <c r="G174" s="2">
        <f>작업!J174</f>
        <v>3</v>
      </c>
      <c r="H174" s="2">
        <f>작업!D174</f>
        <v>1</v>
      </c>
      <c r="I174" s="2">
        <f>작업!K174</f>
        <v>1</v>
      </c>
      <c r="J174" s="2" t="str">
        <f>작업!L174</f>
        <v>https://ebsi.co.kr/ebs/lms/player/retrieveLmsPlayerHtml5Simple.ebs?medUrl=https://WSTR.ebsi.co.kr/M41M2201/S20220000620/S20220000620_1M4_100030028822.mp4&amp;strStartTm=255&amp;pType=2</v>
      </c>
    </row>
    <row r="175" spans="1:10" x14ac:dyDescent="0.3">
      <c r="A175" s="2" t="str">
        <f>작업!E175</f>
        <v>확률과 통계</v>
      </c>
      <c r="B175" s="2" t="str">
        <f>작업!F175</f>
        <v>1. 경우의 수</v>
      </c>
      <c r="C175" s="2" t="str">
        <f>작업!G175</f>
        <v>M. 여러 가지 순열과 중복 조합</v>
      </c>
      <c r="D175" s="2" t="str">
        <f>작업!H175</f>
        <v>중복 순열</v>
      </c>
      <c r="E175" s="2" t="str">
        <f>작업!C175&amp;"("&amp;VLOOKUP(작업!D175,작업!$N$2:$O$6,2,0)&amp;")"</f>
        <v>20231124(♥)</v>
      </c>
      <c r="F175" s="2" t="str">
        <f>작업!I175</f>
        <v>mun/20231124.png</v>
      </c>
      <c r="G175" s="2">
        <f>작업!J175</f>
        <v>2</v>
      </c>
      <c r="H175" s="2">
        <f>작업!D175</f>
        <v>1</v>
      </c>
      <c r="I175" s="2">
        <f>작업!K175</f>
        <v>1</v>
      </c>
      <c r="J175" s="2" t="str">
        <f>작업!L175</f>
        <v>https://ebsi.co.kr/ebs/lms/player/retrieveLmsPlayerHtml5Simple.ebs?medUrl=https://WSTR.ebsi.co.kr/M41M2201/S20220000620/S20220000620_1M4_100030028822.mp4&amp;strStartTm=396&amp;pType=2</v>
      </c>
    </row>
    <row r="176" spans="1:10" x14ac:dyDescent="0.3">
      <c r="A176" s="2" t="str">
        <f>작업!E176</f>
        <v>확률과 통계</v>
      </c>
      <c r="B176" s="2" t="str">
        <f>작업!F176</f>
        <v>2. 확률</v>
      </c>
      <c r="C176" s="2" t="str">
        <f>작업!G176</f>
        <v>P. 조건부 확률</v>
      </c>
      <c r="D176" s="2" t="str">
        <f>작업!H176</f>
        <v>독립과 종속</v>
      </c>
      <c r="E176" s="2" t="str">
        <f>작업!C176&amp;"("&amp;VLOOKUP(작업!D176,작업!$N$2:$O$6,2,0)&amp;")"</f>
        <v>20240929(♥♥♥♥)</v>
      </c>
      <c r="F176" s="2" t="str">
        <f>작업!I176</f>
        <v>mun/20240929.png</v>
      </c>
      <c r="G176" s="2">
        <f>작업!J176</f>
        <v>62</v>
      </c>
      <c r="H176" s="2">
        <f>작업!D176</f>
        <v>4</v>
      </c>
      <c r="I176" s="2">
        <f>작업!K176</f>
        <v>1</v>
      </c>
      <c r="J176" s="2" t="str">
        <f>작업!L176</f>
        <v>https://ebsi.co.kr/ebs/lms/player/retrieveLmsPlayerHtml5Simple.ebs?medUrl=https://WSTR.ebsi.co.kr/M41M2301/S20230000491/S20230000491_1M4_100030043587.mp4&amp;strStartTm=2312&amp;pType=2</v>
      </c>
    </row>
    <row r="177" spans="1:10" x14ac:dyDescent="0.3">
      <c r="A177" s="2" t="str">
        <f>작업!E177</f>
        <v>확률과 통계</v>
      </c>
      <c r="B177" s="2" t="str">
        <f>작업!F177</f>
        <v>2. 확률</v>
      </c>
      <c r="C177" s="2" t="str">
        <f>작업!G177</f>
        <v>P. 조건부 확률</v>
      </c>
      <c r="D177" s="2" t="str">
        <f>작업!H177</f>
        <v>독립과 종속</v>
      </c>
      <c r="E177" s="2" t="str">
        <f>작업!C177&amp;"("&amp;VLOOKUP(작업!D177,작업!$N$2:$O$6,2,0)&amp;")"</f>
        <v>20241124(♥)</v>
      </c>
      <c r="F177" s="2" t="str">
        <f>작업!I177</f>
        <v>mun/20241124.png</v>
      </c>
      <c r="G177" s="2">
        <f>작업!J177</f>
        <v>4</v>
      </c>
      <c r="H177" s="2">
        <f>작업!D177</f>
        <v>1</v>
      </c>
      <c r="I177" s="2">
        <f>작업!K177</f>
        <v>1</v>
      </c>
      <c r="J177" s="2" t="str">
        <f>작업!L177</f>
        <v>https://ebsi.co.kr/ebs/lms/player/retrieveLmsPlayerHtml5Simple.ebs?medUrl=https://WSTR.ebsi.co.kr/M41M2301/S20230000616/S20230000616_1M4_100030044876.mp4&amp;strStartTm=281&amp;pType=2</v>
      </c>
    </row>
    <row r="178" spans="1:10" x14ac:dyDescent="0.3">
      <c r="A178" s="2" t="str">
        <f>작업!E178</f>
        <v>확률과 통계</v>
      </c>
      <c r="B178" s="2" t="str">
        <f>작업!F178</f>
        <v>2. 확률</v>
      </c>
      <c r="C178" s="2" t="str">
        <f>작업!G178</f>
        <v>P. 조건부 확률</v>
      </c>
      <c r="D178" s="2" t="str">
        <f>작업!H178</f>
        <v>독립과 종속</v>
      </c>
      <c r="E178" s="2" t="str">
        <f>작업!C178&amp;"("&amp;VLOOKUP(작업!D178,작업!$N$2:$O$6,2,0)&amp;")"</f>
        <v>20250924(♥)</v>
      </c>
      <c r="F178" s="2" t="str">
        <f>작업!I178</f>
        <v>mun/20250924.png</v>
      </c>
      <c r="G178" s="2">
        <f>작업!J178</f>
        <v>1</v>
      </c>
      <c r="H178" s="2">
        <f>작업!D178</f>
        <v>1</v>
      </c>
      <c r="I178" s="2">
        <f>작업!K178</f>
        <v>1</v>
      </c>
      <c r="J178" s="2" t="str">
        <f>작업!L178</f>
        <v>https://ebsi.co.kr/ebs/lms/player/retrieveLmsPlayerHtml5Simple.ebs?medUrl=https://WSTR.ebsi.co.kr/M41M2401/S20240000528/S20240000528_1M4_100030058242.mp4&amp;strStartTm=386&amp;pType=2</v>
      </c>
    </row>
    <row r="179" spans="1:10" x14ac:dyDescent="0.3">
      <c r="A179" s="2" t="str">
        <f>작업!E179</f>
        <v>확률과 통계</v>
      </c>
      <c r="B179" s="2" t="str">
        <f>작업!F179</f>
        <v>2. 확률</v>
      </c>
      <c r="C179" s="2" t="str">
        <f>작업!G179</f>
        <v>P. 조건부 확률</v>
      </c>
      <c r="D179" s="2" t="str">
        <f>작업!H179</f>
        <v>조건부 확률</v>
      </c>
      <c r="E179" s="2" t="str">
        <f>작업!C179&amp;"("&amp;VLOOKUP(작업!D179,작업!$N$2:$O$6,2,0)&amp;")"</f>
        <v>20220624(♥)</v>
      </c>
      <c r="F179" s="2" t="str">
        <f>작업!I179</f>
        <v>mun/20220624.png</v>
      </c>
      <c r="G179" s="2">
        <f>작업!J179</f>
        <v>2</v>
      </c>
      <c r="H179" s="2">
        <f>작업!D179</f>
        <v>1</v>
      </c>
      <c r="I179" s="2">
        <f>작업!K179</f>
        <v>1</v>
      </c>
      <c r="J179" s="2" t="str">
        <f>작업!L179</f>
        <v>https://ebsi.co.kr/ebs/lms/player/retrieveLmsPlayerHtml5Simple.ebs?medUrl=https://WSTR.ebsi.co.kr/M41M2101/S20210000761/S20210000761_1M4_100030001261.mp4&amp;strStartTm=651&amp;pType=2</v>
      </c>
    </row>
    <row r="180" spans="1:10" x14ac:dyDescent="0.3">
      <c r="A180" s="2" t="str">
        <f>작업!E180</f>
        <v>확률과 통계</v>
      </c>
      <c r="B180" s="2" t="str">
        <f>작업!F180</f>
        <v>2. 확률</v>
      </c>
      <c r="C180" s="2" t="str">
        <f>작업!G180</f>
        <v>P. 조건부 확률</v>
      </c>
      <c r="D180" s="2" t="str">
        <f>작업!H180</f>
        <v>조건부 확률</v>
      </c>
      <c r="E180" s="2" t="str">
        <f>작업!C180&amp;"("&amp;VLOOKUP(작업!D180,작업!$N$2:$O$6,2,0)&amp;")"</f>
        <v>20220627(♥♥♥)</v>
      </c>
      <c r="F180" s="2" t="str">
        <f>작업!I180</f>
        <v>mun/20220627.png</v>
      </c>
      <c r="G180" s="2">
        <f>작업!J180</f>
        <v>1</v>
      </c>
      <c r="H180" s="2">
        <f>작업!D180</f>
        <v>3</v>
      </c>
      <c r="I180" s="2">
        <f>작업!K180</f>
        <v>1</v>
      </c>
      <c r="J180" s="2" t="str">
        <f>작업!L180</f>
        <v>https://ebsi.co.kr/ebs/lms/player/retrieveLmsPlayerHtml5Simple.ebs?medUrl=https://WSTR.ebsi.co.kr/M41M2101/S20210000761/S20210000761_1M4_100030001261.mp4&amp;strStartTm=1423&amp;pType=2</v>
      </c>
    </row>
    <row r="181" spans="1:10" x14ac:dyDescent="0.3">
      <c r="A181" s="2" t="str">
        <f>작업!E181</f>
        <v>확률과 통계</v>
      </c>
      <c r="B181" s="2" t="str">
        <f>작업!F181</f>
        <v>1. 경우의 수</v>
      </c>
      <c r="C181" s="2" t="str">
        <f>작업!G181</f>
        <v>M. 여러 가지 순열과 중복 조합</v>
      </c>
      <c r="D181" s="2" t="str">
        <f>작업!H181</f>
        <v>중복 조합</v>
      </c>
      <c r="E181" s="2" t="str">
        <f>작업!C181&amp;"("&amp;VLOOKUP(작업!D181,작업!$N$2:$O$6,2,0)&amp;")"</f>
        <v>20231130(♥♥♥♥♥)</v>
      </c>
      <c r="F181" s="2" t="str">
        <f>작업!I181</f>
        <v>mun/20231130.png</v>
      </c>
      <c r="G181" s="2">
        <f>작업!J181</f>
        <v>100</v>
      </c>
      <c r="H181" s="2">
        <f>작업!D181</f>
        <v>5</v>
      </c>
      <c r="I181" s="2">
        <f>작업!K181</f>
        <v>1</v>
      </c>
      <c r="J181" s="2" t="str">
        <f>작업!L181</f>
        <v>https://ebsi.co.kr/ebs/lms/player/retrieveLmsPlayerHtml5Simple.ebs?medUrl=https://WSTR.ebsi.co.kr/M41M2201/S20220000620/S20220000620_1M4_100030028822.mp4&amp;strStartTm=2647&amp;pType=2</v>
      </c>
    </row>
    <row r="182" spans="1:10" x14ac:dyDescent="0.3">
      <c r="A182" s="2" t="str">
        <f>작업!E182</f>
        <v>수학Ⅰ</v>
      </c>
      <c r="B182" s="2" t="str">
        <f>작업!F182</f>
        <v>1. 지수함수와 로그함수</v>
      </c>
      <c r="C182" s="2" t="str">
        <f>작업!G182</f>
        <v>A. 지수와 로그</v>
      </c>
      <c r="D182" s="2" t="str">
        <f>작업!H182</f>
        <v>지수의 연산</v>
      </c>
      <c r="E182" s="2" t="str">
        <f>작업!C182&amp;"("&amp;VLOOKUP(작업!D182,작업!$N$2:$O$6,2,0)&amp;")"</f>
        <v>20240601(♥)</v>
      </c>
      <c r="F182" s="2" t="str">
        <f>작업!I182</f>
        <v>mun/20240601.png</v>
      </c>
      <c r="G182" s="2">
        <f>작업!J182</f>
        <v>5</v>
      </c>
      <c r="H182" s="2">
        <f>작업!D182</f>
        <v>1</v>
      </c>
      <c r="I182" s="2">
        <f>작업!K182</f>
        <v>1</v>
      </c>
      <c r="J182" s="2" t="str">
        <f>작업!L182</f>
        <v>https://ebsi.co.kr/ebs/lms/player/retrieveLmsPlayerHtml5Simple.ebs?medUrl=https://WSTR.ebsi.co.kr/M41M2301/S20230000297/S20230000297_1M4_100030039324.mp4&amp;strStartTm=277&amp;pType=2</v>
      </c>
    </row>
    <row r="183" spans="1:10" x14ac:dyDescent="0.3">
      <c r="A183" s="2" t="str">
        <f>작업!E183</f>
        <v>수학Ⅱ</v>
      </c>
      <c r="B183" s="2" t="str">
        <f>작업!F183</f>
        <v>2. 미분</v>
      </c>
      <c r="C183" s="2" t="str">
        <f>작업!G183</f>
        <v>I. 도함수</v>
      </c>
      <c r="D183" s="2" t="str">
        <f>작업!H183</f>
        <v>미분계수와 도함수</v>
      </c>
      <c r="E183" s="2" t="str">
        <f>작업!C183&amp;"("&amp;VLOOKUP(작업!D183,작업!$N$2:$O$6,2,0)&amp;")"</f>
        <v>20240602(♥)</v>
      </c>
      <c r="F183" s="2" t="str">
        <f>작업!I183</f>
        <v>mun/20240602.png</v>
      </c>
      <c r="G183" s="2">
        <f>작업!J183</f>
        <v>4</v>
      </c>
      <c r="H183" s="2">
        <f>작업!D183</f>
        <v>1</v>
      </c>
      <c r="I183" s="2">
        <f>작업!K183</f>
        <v>1</v>
      </c>
      <c r="J183" s="2" t="str">
        <f>작업!L183</f>
        <v>https://ebsi.co.kr/ebs/lms/player/retrieveLmsPlayerHtml5Simple.ebs?medUrl=https://WSTR.ebsi.co.kr/M41M2301/S20230000297/S20230000297_1M4_100030039325.mp4&amp;strStartTm=353&amp;pType=2</v>
      </c>
    </row>
    <row r="184" spans="1:10" x14ac:dyDescent="0.3">
      <c r="A184" s="2" t="str">
        <f>작업!E184</f>
        <v>수학Ⅰ</v>
      </c>
      <c r="B184" s="2" t="str">
        <f>작업!F184</f>
        <v>3. 수열</v>
      </c>
      <c r="C184" s="2" t="str">
        <f>작업!G184</f>
        <v>E. 수열의 합</v>
      </c>
      <c r="D184" s="2" t="str">
        <f>작업!H184</f>
        <v>시그마의 뜻과 성질</v>
      </c>
      <c r="E184" s="2" t="str">
        <f>작업!C184&amp;"("&amp;VLOOKUP(작업!D184,작업!$N$2:$O$6,2,0)&amp;")"</f>
        <v>20240603(♥)</v>
      </c>
      <c r="F184" s="2" t="str">
        <f>작업!I184</f>
        <v>mun/20240603.png</v>
      </c>
      <c r="G184" s="2">
        <f>작업!J184</f>
        <v>2</v>
      </c>
      <c r="H184" s="2">
        <f>작업!D184</f>
        <v>1</v>
      </c>
      <c r="I184" s="2">
        <f>작업!K184</f>
        <v>1</v>
      </c>
      <c r="J184" s="2" t="str">
        <f>작업!L184</f>
        <v>https://ebsi.co.kr/ebs/lms/player/retrieveLmsPlayerHtml5Simple.ebs?medUrl=https://WSTR.ebsi.co.kr/M41M2301/S20230000297/S20230000297_1M4_100030039324.mp4&amp;strStartTm=339&amp;pType=2</v>
      </c>
    </row>
    <row r="185" spans="1:10" x14ac:dyDescent="0.3">
      <c r="A185" s="2" t="str">
        <f>작업!E185</f>
        <v>수학Ⅱ</v>
      </c>
      <c r="B185" s="2" t="str">
        <f>작업!F185</f>
        <v>1. 함수의 극한과 연속</v>
      </c>
      <c r="C185" s="2" t="str">
        <f>작업!G185</f>
        <v>H. 함수의 연속</v>
      </c>
      <c r="D185" s="2" t="str">
        <f>작업!H185</f>
        <v>함수의 연속</v>
      </c>
      <c r="E185" s="2" t="str">
        <f>작업!C185&amp;"("&amp;VLOOKUP(작업!D185,작업!$N$2:$O$6,2,0)&amp;")"</f>
        <v>20240604(♥♥)</v>
      </c>
      <c r="F185" s="2" t="str">
        <f>작업!I185</f>
        <v>mun/20240604.png</v>
      </c>
      <c r="G185" s="2">
        <f>작업!J185</f>
        <v>2</v>
      </c>
      <c r="H185" s="2">
        <f>작업!D185</f>
        <v>2</v>
      </c>
      <c r="I185" s="2">
        <f>작업!K185</f>
        <v>1</v>
      </c>
      <c r="J185" s="2" t="str">
        <f>작업!L185</f>
        <v>https://ebsi.co.kr/ebs/lms/player/retrieveLmsPlayerHtml5Simple.ebs?medUrl=https://WSTR.ebsi.co.kr/M41M2301/S20230000297/S20230000297_1M4_100030039325.mp4&amp;strStartTm=423&amp;pType=2</v>
      </c>
    </row>
    <row r="186" spans="1:10" x14ac:dyDescent="0.3">
      <c r="A186" s="2" t="str">
        <f>작업!E186</f>
        <v>수학Ⅱ</v>
      </c>
      <c r="B186" s="2" t="str">
        <f>작업!F186</f>
        <v>2. 미분</v>
      </c>
      <c r="C186" s="2" t="str">
        <f>작업!G186</f>
        <v>I. 도함수</v>
      </c>
      <c r="D186" s="2" t="str">
        <f>작업!H186</f>
        <v>곱함수의 미분법</v>
      </c>
      <c r="E186" s="2" t="str">
        <f>작업!C186&amp;"("&amp;VLOOKUP(작업!D186,작업!$N$2:$O$6,2,0)&amp;")"</f>
        <v>20240605(♥♥)</v>
      </c>
      <c r="F186" s="2" t="str">
        <f>작업!I186</f>
        <v>mun/20240605.png</v>
      </c>
      <c r="G186" s="2">
        <f>작업!J186</f>
        <v>1</v>
      </c>
      <c r="H186" s="2">
        <f>작업!D186</f>
        <v>2</v>
      </c>
      <c r="I186" s="2">
        <f>작업!K186</f>
        <v>1</v>
      </c>
      <c r="J186" s="2" t="str">
        <f>작업!L186</f>
        <v>https://ebsi.co.kr/ebs/lms/player/retrieveLmsPlayerHtml5Simple.ebs?medUrl=https://WSTR.ebsi.co.kr/M41M2301/S20230000297/S20230000297_1M4_100030039325.mp4&amp;strStartTm=513&amp;pType=2</v>
      </c>
    </row>
    <row r="187" spans="1:10" x14ac:dyDescent="0.3">
      <c r="A187" s="2" t="str">
        <f>작업!E187</f>
        <v>수학Ⅰ</v>
      </c>
      <c r="B187" s="2" t="str">
        <f>작업!F187</f>
        <v>2. 삼각함수</v>
      </c>
      <c r="C187" s="2" t="str">
        <f>작업!G187</f>
        <v>C. 삼각함수</v>
      </c>
      <c r="D187" s="2" t="str">
        <f>작업!H187</f>
        <v>삼각함수의 값</v>
      </c>
      <c r="E187" s="2" t="str">
        <f>작업!C187&amp;"("&amp;VLOOKUP(작업!D187,작업!$N$2:$O$6,2,0)&amp;")"</f>
        <v>20240606(♥♥)</v>
      </c>
      <c r="F187" s="2" t="str">
        <f>작업!I187</f>
        <v>mun/20240606.png</v>
      </c>
      <c r="G187" s="2">
        <f>작업!J187</f>
        <v>4</v>
      </c>
      <c r="H187" s="2">
        <f>작업!D187</f>
        <v>2</v>
      </c>
      <c r="I187" s="2">
        <f>작업!K187</f>
        <v>1</v>
      </c>
      <c r="J187" s="2" t="str">
        <f>작업!L187</f>
        <v>https://ebsi.co.kr/ebs/lms/player/retrieveLmsPlayerHtml5Simple.ebs?medUrl=https://WSTR.ebsi.co.kr/M41M2301/S20230000297/S20230000297_1M4_100030039324.mp4&amp;strStartTm=419&amp;pType=2</v>
      </c>
    </row>
    <row r="188" spans="1:10" x14ac:dyDescent="0.3">
      <c r="A188" s="2" t="str">
        <f>작업!E188</f>
        <v>수학Ⅰ</v>
      </c>
      <c r="B188" s="2" t="str">
        <f>작업!F188</f>
        <v>1. 지수함수와 로그함수</v>
      </c>
      <c r="C188" s="2" t="str">
        <f>작업!G188</f>
        <v>B. 지수함수와 로그함수</v>
      </c>
      <c r="D188" s="2" t="str">
        <f>작업!H188</f>
        <v>로그함수의 그래프</v>
      </c>
      <c r="E188" s="2" t="str">
        <f>작업!C188&amp;"("&amp;VLOOKUP(작업!D188,작업!$N$2:$O$6,2,0)&amp;")"</f>
        <v>20240607(♥♥)</v>
      </c>
      <c r="F188" s="2" t="str">
        <f>작업!I188</f>
        <v>mun/20240607.png</v>
      </c>
      <c r="G188" s="2">
        <f>작업!J188</f>
        <v>3</v>
      </c>
      <c r="H188" s="2">
        <f>작업!D188</f>
        <v>2</v>
      </c>
      <c r="I188" s="2">
        <f>작업!K188</f>
        <v>1</v>
      </c>
      <c r="J188" s="2" t="str">
        <f>작업!L188</f>
        <v>https://ebsi.co.kr/ebs/lms/player/retrieveLmsPlayerHtml5Simple.ebs?medUrl=https://WSTR.ebsi.co.kr/M41M2301/S20230000297/S20230000297_1M4_100030039324.mp4&amp;strStartTm=643&amp;pType=2</v>
      </c>
    </row>
    <row r="189" spans="1:10" x14ac:dyDescent="0.3">
      <c r="A189" s="2" t="str">
        <f>작업!E189</f>
        <v>수학Ⅱ</v>
      </c>
      <c r="B189" s="2" t="str">
        <f>작업!F189</f>
        <v>2. 미분</v>
      </c>
      <c r="C189" s="2" t="str">
        <f>작업!G189</f>
        <v>J. 도함수의 활용</v>
      </c>
      <c r="D189" s="2" t="str">
        <f>작업!H189</f>
        <v>방정식과 부등식에의 활용</v>
      </c>
      <c r="E189" s="2" t="str">
        <f>작업!C189&amp;"("&amp;VLOOKUP(작업!D189,작업!$N$2:$O$6,2,0)&amp;")"</f>
        <v>20240608(♥♥)</v>
      </c>
      <c r="F189" s="2" t="str">
        <f>작업!I189</f>
        <v>mun/20240608.png</v>
      </c>
      <c r="G189" s="2">
        <f>작업!J189</f>
        <v>3</v>
      </c>
      <c r="H189" s="2">
        <f>작업!D189</f>
        <v>2</v>
      </c>
      <c r="I189" s="2">
        <f>작업!K189</f>
        <v>1</v>
      </c>
      <c r="J189" s="2" t="str">
        <f>작업!L189</f>
        <v>https://ebsi.co.kr/ebs/lms/player/retrieveLmsPlayerHtml5Simple.ebs?medUrl=https://WSTR.ebsi.co.kr/M41M2301/S20230000297/S20230000297_1M4_100030039325.mp4&amp;strStartTm=607&amp;pType=2</v>
      </c>
    </row>
    <row r="190" spans="1:10" x14ac:dyDescent="0.3">
      <c r="A190" s="2" t="str">
        <f>작업!E190</f>
        <v>수학Ⅰ</v>
      </c>
      <c r="B190" s="2" t="str">
        <f>작업!F190</f>
        <v>3. 수열</v>
      </c>
      <c r="C190" s="2" t="str">
        <f>작업!G190</f>
        <v>E. 수열의 합</v>
      </c>
      <c r="D190" s="2" t="str">
        <f>작업!H190</f>
        <v>수열의 합과 일반항 사이의 관계</v>
      </c>
      <c r="E190" s="2" t="str">
        <f>작업!C190&amp;"("&amp;VLOOKUP(작업!D190,작업!$N$2:$O$6,2,0)&amp;")"</f>
        <v>20240609(♥♥♥)</v>
      </c>
      <c r="F190" s="2" t="str">
        <f>작업!I190</f>
        <v>mun/20240609.png</v>
      </c>
      <c r="G190" s="2">
        <f>작업!J190</f>
        <v>1</v>
      </c>
      <c r="H190" s="2">
        <f>작업!D190</f>
        <v>3</v>
      </c>
      <c r="I190" s="2">
        <f>작업!K190</f>
        <v>1</v>
      </c>
      <c r="J190" s="2" t="str">
        <f>작업!L190</f>
        <v>https://ebsi.co.kr/ebs/lms/player/retrieveLmsPlayerHtml5Simple.ebs?medUrl=https://WSTR.ebsi.co.kr/M41M2301/S20230000297/S20230000297_1M4_100030039324.mp4&amp;strStartTm=927&amp;pType=2</v>
      </c>
    </row>
    <row r="191" spans="1:10" x14ac:dyDescent="0.3">
      <c r="A191" s="2" t="str">
        <f>작업!E191</f>
        <v>수학Ⅱ</v>
      </c>
      <c r="B191" s="2" t="str">
        <f>작업!F191</f>
        <v>3. 적분</v>
      </c>
      <c r="C191" s="2" t="str">
        <f>작업!G191</f>
        <v>L. 정적분</v>
      </c>
      <c r="D191" s="2" t="str">
        <f>작업!H191</f>
        <v>곡선 사이의 넓이</v>
      </c>
      <c r="E191" s="2" t="str">
        <f>작업!C191&amp;"("&amp;VLOOKUP(작업!D191,작업!$N$2:$O$6,2,0)&amp;")"</f>
        <v>20240610(♥♥♥)</v>
      </c>
      <c r="F191" s="2" t="str">
        <f>작업!I191</f>
        <v>mun/20240610.png</v>
      </c>
      <c r="G191" s="2">
        <f>작업!J191</f>
        <v>2</v>
      </c>
      <c r="H191" s="2">
        <f>작업!D191</f>
        <v>3</v>
      </c>
      <c r="I191" s="2">
        <f>작업!K191</f>
        <v>1</v>
      </c>
      <c r="J191" s="2" t="str">
        <f>작업!L191</f>
        <v>https://ebsi.co.kr/ebs/lms/player/retrieveLmsPlayerHtml5Simple.ebs?medUrl=https://WSTR.ebsi.co.kr/M41M2301/S20230000297/S20230000297_1M4_100030039325.mp4&amp;strStartTm=788&amp;pType=2</v>
      </c>
    </row>
    <row r="192" spans="1:10" x14ac:dyDescent="0.3">
      <c r="A192" s="2" t="str">
        <f>작업!E192</f>
        <v>수학Ⅱ</v>
      </c>
      <c r="B192" s="2" t="str">
        <f>작업!F192</f>
        <v>1. 함수의 극한과 연속</v>
      </c>
      <c r="C192" s="2" t="str">
        <f>작업!G192</f>
        <v>G. 함수의 극한</v>
      </c>
      <c r="D192" s="2" t="str">
        <f>작업!H192</f>
        <v>그래프와 도형의 성질에 관한 극한</v>
      </c>
      <c r="E192" s="2" t="str">
        <f>작업!C192&amp;"("&amp;VLOOKUP(작업!D192,작업!$N$2:$O$6,2,0)&amp;")"</f>
        <v>20240611(♥♥♥)</v>
      </c>
      <c r="F192" s="2" t="str">
        <f>작업!I192</f>
        <v>mun/20240611.png</v>
      </c>
      <c r="G192" s="2">
        <f>작업!J192</f>
        <v>3</v>
      </c>
      <c r="H192" s="2">
        <f>작업!D192</f>
        <v>3</v>
      </c>
      <c r="I192" s="2">
        <f>작업!K192</f>
        <v>1</v>
      </c>
      <c r="J192" s="2" t="str">
        <f>작업!L192</f>
        <v>https://ebsi.co.kr/ebs/lms/player/retrieveLmsPlayerHtml5Simple.ebs?medUrl=https://WSTR.ebsi.co.kr/M41M2301/S20230000297/S20230000297_1M4_100030039325.mp4&amp;strStartTm=1283&amp;pType=2</v>
      </c>
    </row>
    <row r="193" spans="1:10" x14ac:dyDescent="0.3">
      <c r="A193" s="2" t="str">
        <f>작업!E193</f>
        <v>수학Ⅰ</v>
      </c>
      <c r="B193" s="2" t="str">
        <f>작업!F193</f>
        <v>3. 수열</v>
      </c>
      <c r="C193" s="2" t="str">
        <f>작업!G193</f>
        <v>D. 등차수열과 등비수열</v>
      </c>
      <c r="D193" s="2" t="str">
        <f>작업!H193</f>
        <v>등차수열</v>
      </c>
      <c r="E193" s="2" t="str">
        <f>작업!C193&amp;"("&amp;VLOOKUP(작업!D193,작업!$N$2:$O$6,2,0)&amp;")"</f>
        <v>20240612(♥♥♥♥)</v>
      </c>
      <c r="F193" s="2" t="str">
        <f>작업!I193</f>
        <v>mun/20240612.png</v>
      </c>
      <c r="G193" s="2">
        <f>작업!J193</f>
        <v>5</v>
      </c>
      <c r="H193" s="2">
        <f>작업!D193</f>
        <v>4</v>
      </c>
      <c r="I193" s="2">
        <f>작업!K193</f>
        <v>1</v>
      </c>
      <c r="J193" s="2" t="str">
        <f>작업!L193</f>
        <v>https://ebsi.co.kr/ebs/lms/player/retrieveLmsPlayerHtml5Simple.ebs?medUrl=https://WSTR.ebsi.co.kr/M41M2301/S20230000297/S20230000297_1M4_100030039324.mp4&amp;strStartTm=1275&amp;pType=2</v>
      </c>
    </row>
    <row r="194" spans="1:10" x14ac:dyDescent="0.3">
      <c r="A194" s="2" t="str">
        <f>작업!E194</f>
        <v>수학Ⅰ</v>
      </c>
      <c r="B194" s="2" t="str">
        <f>작업!F194</f>
        <v>2. 삼각함수</v>
      </c>
      <c r="C194" s="2" t="str">
        <f>작업!G194</f>
        <v>C. 삼각함수</v>
      </c>
      <c r="D194" s="2" t="str">
        <f>작업!H194</f>
        <v>사인법칙과 코사인법칙</v>
      </c>
      <c r="E194" s="2" t="str">
        <f>작업!C194&amp;"("&amp;VLOOKUP(작업!D194,작업!$N$2:$O$6,2,0)&amp;")"</f>
        <v>20240613(♥♥♥♥)</v>
      </c>
      <c r="F194" s="2" t="str">
        <f>작업!I194</f>
        <v>mun/20240613.png</v>
      </c>
      <c r="G194" s="2">
        <f>작업!J194</f>
        <v>1</v>
      </c>
      <c r="H194" s="2">
        <f>작업!D194</f>
        <v>4</v>
      </c>
      <c r="I194" s="2">
        <f>작업!K194</f>
        <v>1</v>
      </c>
      <c r="J194" s="2" t="str">
        <f>작업!L194</f>
        <v>https://ebsi.co.kr/ebs/lms/player/retrieveLmsPlayerHtml5Simple.ebs?medUrl=https://WSTR.ebsi.co.kr/M41M2301/S20230000297/S20230000297_1M4_100030039324.mp4&amp;strStartTm=1769&amp;pType=2</v>
      </c>
    </row>
    <row r="195" spans="1:10" x14ac:dyDescent="0.3">
      <c r="A195" s="2" t="str">
        <f>작업!E195</f>
        <v>수학Ⅱ</v>
      </c>
      <c r="B195" s="2" t="str">
        <f>작업!F195</f>
        <v>3. 적분</v>
      </c>
      <c r="C195" s="2" t="str">
        <f>작업!G195</f>
        <v>L. 정적분</v>
      </c>
      <c r="D195" s="2" t="str">
        <f>작업!H195</f>
        <v>속도와 거리</v>
      </c>
      <c r="E195" s="2" t="str">
        <f>작업!C195&amp;"("&amp;VLOOKUP(작업!D195,작업!$N$2:$O$6,2,0)&amp;")"</f>
        <v>20240614(♥♥♥♥)</v>
      </c>
      <c r="F195" s="2" t="str">
        <f>작업!I195</f>
        <v>mun/20240614.png</v>
      </c>
      <c r="G195" s="2">
        <f>작업!J195</f>
        <v>3</v>
      </c>
      <c r="H195" s="2">
        <f>작업!D195</f>
        <v>4</v>
      </c>
      <c r="I195" s="2">
        <f>작업!K195</f>
        <v>1</v>
      </c>
      <c r="J195" s="2" t="str">
        <f>작업!L195</f>
        <v>https://ebsi.co.kr/ebs/lms/player/retrieveLmsPlayerHtml5Simple.ebs?medUrl=https://WSTR.ebsi.co.kr/M41M2301/S20230000297/S20230000297_1M4_100030039325.mp4&amp;strStartTm=1672&amp;pType=2</v>
      </c>
    </row>
    <row r="196" spans="1:10" x14ac:dyDescent="0.3">
      <c r="A196" s="2" t="str">
        <f>작업!E196</f>
        <v>수학Ⅰ</v>
      </c>
      <c r="B196" s="2" t="str">
        <f>작업!F196</f>
        <v>3. 수열</v>
      </c>
      <c r="C196" s="2" t="str">
        <f>작업!G196</f>
        <v>F. 수학적 귀납법</v>
      </c>
      <c r="D196" s="2" t="str">
        <f>작업!H196</f>
        <v>수열의 귀납적 정의</v>
      </c>
      <c r="E196" s="2" t="str">
        <f>작업!C196&amp;"("&amp;VLOOKUP(작업!D196,작업!$N$2:$O$6,2,0)&amp;")"</f>
        <v>20240615(♥♥♥♥♥)</v>
      </c>
      <c r="F196" s="2" t="str">
        <f>작업!I196</f>
        <v>mun/20240615.png</v>
      </c>
      <c r="G196" s="2">
        <f>작업!J196</f>
        <v>2</v>
      </c>
      <c r="H196" s="2">
        <f>작업!D196</f>
        <v>5</v>
      </c>
      <c r="I196" s="2">
        <f>작업!K196</f>
        <v>1</v>
      </c>
      <c r="J196" s="2" t="str">
        <f>작업!L196</f>
        <v>https://ebsi.co.kr/ebs/lms/player/retrieveLmsPlayerHtml5Simple.ebs?medUrl=https://WSTR.ebsi.co.kr/M41M2301/S20230000297/S20230000297_1M4_100030039324.mp4&amp;strStartTm=2330&amp;pType=2</v>
      </c>
    </row>
    <row r="197" spans="1:10" x14ac:dyDescent="0.3">
      <c r="A197" s="2" t="str">
        <f>작업!E197</f>
        <v>수학Ⅰ</v>
      </c>
      <c r="B197" s="2" t="str">
        <f>작업!F197</f>
        <v>1. 지수함수와 로그함수</v>
      </c>
      <c r="C197" s="2" t="str">
        <f>작업!G197</f>
        <v>B. 지수함수와 로그함수</v>
      </c>
      <c r="D197" s="2" t="str">
        <f>작업!H197</f>
        <v>방정식과 부등식에의 활용</v>
      </c>
      <c r="E197" s="2" t="str">
        <f>작업!C197&amp;"("&amp;VLOOKUP(작업!D197,작업!$N$2:$O$6,2,0)&amp;")"</f>
        <v>20240616(♥)</v>
      </c>
      <c r="F197" s="2" t="str">
        <f>작업!I197</f>
        <v>mun/20240616.png</v>
      </c>
      <c r="G197" s="2">
        <f>작업!J197</f>
        <v>3</v>
      </c>
      <c r="H197" s="2">
        <f>작업!D197</f>
        <v>1</v>
      </c>
      <c r="I197" s="2">
        <f>작업!K197</f>
        <v>1</v>
      </c>
      <c r="J197" s="2" t="str">
        <f>작업!L197</f>
        <v>https://ebsi.co.kr/ebs/lms/player/retrieveLmsPlayerHtml5Simple.ebs?medUrl=https://WSTR.ebsi.co.kr/M41M2301/S20230000297/S20230000297_1M4_100030039324.mp4&amp;strStartTm=2949&amp;pType=2</v>
      </c>
    </row>
    <row r="198" spans="1:10" x14ac:dyDescent="0.3">
      <c r="A198" s="2" t="str">
        <f>작업!E198</f>
        <v>수학Ⅱ</v>
      </c>
      <c r="B198" s="2" t="str">
        <f>작업!F198</f>
        <v>3. 적분</v>
      </c>
      <c r="C198" s="2" t="str">
        <f>작업!G198</f>
        <v>K. 부정적분</v>
      </c>
      <c r="D198" s="2" t="str">
        <f>작업!H198</f>
        <v>부정적분</v>
      </c>
      <c r="E198" s="2" t="str">
        <f>작업!C198&amp;"("&amp;VLOOKUP(작업!D198,작업!$N$2:$O$6,2,0)&amp;")"</f>
        <v>20240617(♥)</v>
      </c>
      <c r="F198" s="2" t="str">
        <f>작업!I198</f>
        <v>mun/20240617.png</v>
      </c>
      <c r="G198" s="2">
        <f>작업!J198</f>
        <v>33</v>
      </c>
      <c r="H198" s="2">
        <f>작업!D198</f>
        <v>1</v>
      </c>
      <c r="I198" s="2">
        <f>작업!K198</f>
        <v>1</v>
      </c>
      <c r="J198" s="2" t="str">
        <f>작업!L198</f>
        <v>https://ebsi.co.kr/ebs/lms/player/retrieveLmsPlayerHtml5Simple.ebs?medUrl=https://WSTR.ebsi.co.kr/M41M2301/S20230000297/S20230000297_1M4_100030039325.mp4&amp;strStartTm=2525&amp;pType=2</v>
      </c>
    </row>
    <row r="199" spans="1:10" x14ac:dyDescent="0.3">
      <c r="A199" s="2" t="str">
        <f>작업!E199</f>
        <v>수학Ⅱ</v>
      </c>
      <c r="B199" s="2" t="str">
        <f>작업!F199</f>
        <v>2. 미분</v>
      </c>
      <c r="C199" s="2" t="str">
        <f>작업!G199</f>
        <v>J. 도함수의 활용</v>
      </c>
      <c r="D199" s="2" t="str">
        <f>작업!H199</f>
        <v>극대와 극소</v>
      </c>
      <c r="E199" s="2" t="str">
        <f>작업!C199&amp;"("&amp;VLOOKUP(작업!D199,작업!$N$2:$O$6,2,0)&amp;")"</f>
        <v>20240618(♥♥♥)</v>
      </c>
      <c r="F199" s="2" t="str">
        <f>작업!I199</f>
        <v>mun/20240618.png</v>
      </c>
      <c r="G199" s="2">
        <f>작업!J199</f>
        <v>6</v>
      </c>
      <c r="H199" s="2">
        <f>작업!D199</f>
        <v>3</v>
      </c>
      <c r="I199" s="2">
        <f>작업!K199</f>
        <v>1</v>
      </c>
      <c r="J199" s="2" t="str">
        <f>작업!L199</f>
        <v>https://ebsi.co.kr/ebs/lms/player/retrieveLmsPlayerHtml5Simple.ebs?medUrl=https://WSTR.ebsi.co.kr/M41M2301/S20230000297/S20230000297_1M4_100030039325.mp4&amp;strStartTm=2565&amp;pType=2</v>
      </c>
    </row>
    <row r="200" spans="1:10" x14ac:dyDescent="0.3">
      <c r="A200" s="2" t="str">
        <f>작업!E200</f>
        <v>수학Ⅰ</v>
      </c>
      <c r="B200" s="2" t="str">
        <f>작업!F200</f>
        <v>2. 삼각함수</v>
      </c>
      <c r="C200" s="2" t="str">
        <f>작업!G200</f>
        <v>C. 삼각함수</v>
      </c>
      <c r="D200" s="2" t="str">
        <f>작업!H200</f>
        <v>방정식과 부등식에의 활용</v>
      </c>
      <c r="E200" s="2" t="str">
        <f>작업!C200&amp;"("&amp;VLOOKUP(작업!D200,작업!$N$2:$O$6,2,0)&amp;")"</f>
        <v>20240619(♥♥♥)</v>
      </c>
      <c r="F200" s="2" t="str">
        <f>작업!I200</f>
        <v>mun/20240619.png</v>
      </c>
      <c r="G200" s="2">
        <f>작업!J200</f>
        <v>8</v>
      </c>
      <c r="H200" s="2">
        <f>작업!D200</f>
        <v>3</v>
      </c>
      <c r="I200" s="2">
        <f>작업!K200</f>
        <v>1</v>
      </c>
      <c r="J200" s="2" t="str">
        <f>작업!L200</f>
        <v>https://ebsi.co.kr/ebs/lms/player/retrieveLmsPlayerHtml5Simple.ebs?medUrl=https://WSTR.ebsi.co.kr/M41M2301/S20230000297/S20230000297_1M4_100030039324.mp4&amp;strStartTm=3022&amp;pType=2</v>
      </c>
    </row>
    <row r="201" spans="1:10" x14ac:dyDescent="0.3">
      <c r="A201" s="2" t="str">
        <f>작업!E201</f>
        <v>수학Ⅱ</v>
      </c>
      <c r="B201" s="2" t="str">
        <f>작업!F201</f>
        <v>2. 미분</v>
      </c>
      <c r="C201" s="2" t="str">
        <f>작업!G201</f>
        <v>J. 도함수의 활용</v>
      </c>
      <c r="D201" s="2" t="str">
        <f>작업!H201</f>
        <v>함수의 추론</v>
      </c>
      <c r="E201" s="2" t="str">
        <f>작업!C201&amp;"("&amp;VLOOKUP(작업!D201,작업!$N$2:$O$6,2,0)&amp;")"</f>
        <v>20240620(♥♥♥♥)</v>
      </c>
      <c r="F201" s="2" t="str">
        <f>작업!I201</f>
        <v>mun/20240620.png</v>
      </c>
      <c r="G201" s="2">
        <f>작업!J201</f>
        <v>39</v>
      </c>
      <c r="H201" s="2">
        <f>작업!D201</f>
        <v>4</v>
      </c>
      <c r="I201" s="2">
        <f>작업!K201</f>
        <v>1</v>
      </c>
      <c r="J201" s="2" t="str">
        <f>작업!L201</f>
        <v>https://ebsi.co.kr/ebs/lms/player/retrieveLmsPlayerHtml5Simple.ebs?medUrl=https://WSTR.ebsi.co.kr/M41M2301/S20230000297/S20230000297_1M4_100030039325.mp4&amp;strStartTm=2778&amp;pType=2</v>
      </c>
    </row>
    <row r="202" spans="1:10" x14ac:dyDescent="0.3">
      <c r="A202" s="2" t="str">
        <f>작업!E202</f>
        <v>수학Ⅰ</v>
      </c>
      <c r="B202" s="2" t="str">
        <f>작업!F202</f>
        <v>1. 지수함수와 로그함수</v>
      </c>
      <c r="C202" s="2" t="str">
        <f>작업!G202</f>
        <v>B. 지수함수와 로그함수</v>
      </c>
      <c r="D202" s="2" t="str">
        <f>작업!H202</f>
        <v>명제의 진위 판단</v>
      </c>
      <c r="E202" s="2" t="str">
        <f>작업!C202&amp;"("&amp;VLOOKUP(작업!D202,작업!$N$2:$O$6,2,0)&amp;")"</f>
        <v>20240621(♥♥♥♥)</v>
      </c>
      <c r="F202" s="2" t="str">
        <f>작업!I202</f>
        <v>mun/20240621.png</v>
      </c>
      <c r="G202" s="2">
        <f>작업!J202</f>
        <v>110</v>
      </c>
      <c r="H202" s="2">
        <f>작업!D202</f>
        <v>4</v>
      </c>
      <c r="I202" s="2">
        <f>작업!K202</f>
        <v>1</v>
      </c>
      <c r="J202" s="2" t="str">
        <f>작업!L202</f>
        <v>https://ebsi.co.kr/ebs/lms/player/retrieveLmsPlayerHtml5Simple.ebs?medUrl=https://WSTR.ebsi.co.kr/M41M2301/S20230000297/S20230000297_1M4_100030039324.mp4&amp;strStartTm=3353&amp;pType=2</v>
      </c>
    </row>
    <row r="203" spans="1:10" x14ac:dyDescent="0.3">
      <c r="A203" s="2" t="str">
        <f>작업!E203</f>
        <v>수학Ⅱ</v>
      </c>
      <c r="B203" s="2" t="str">
        <f>작업!F203</f>
        <v>2. 미분</v>
      </c>
      <c r="C203" s="2" t="str">
        <f>작업!G203</f>
        <v>J. 도함수의 활용</v>
      </c>
      <c r="D203" s="2" t="str">
        <f>작업!H203</f>
        <v>그래프의 개형</v>
      </c>
      <c r="E203" s="2" t="str">
        <f>작업!C203&amp;"("&amp;VLOOKUP(작업!D203,작업!$N$2:$O$6,2,0)&amp;")"</f>
        <v>20240622(♥♥♥♥♥)</v>
      </c>
      <c r="F203" s="2" t="str">
        <f>작업!I203</f>
        <v>mun/20240622.png</v>
      </c>
      <c r="G203" s="2">
        <f>작업!J203</f>
        <v>380</v>
      </c>
      <c r="H203" s="2">
        <f>작업!D203</f>
        <v>5</v>
      </c>
      <c r="I203" s="2">
        <f>작업!K203</f>
        <v>1</v>
      </c>
      <c r="J203" s="2" t="str">
        <f>작업!L203</f>
        <v>https://ebsi.co.kr/ebs/lms/player/retrieveLmsPlayerHtml5Simple.ebs?medUrl=https://WSTR.ebsi.co.kr/M41M2301/S20230000297/S20230000297_1M4_100030039325.mp4&amp;strStartTm=3522&amp;pType=2</v>
      </c>
    </row>
    <row r="204" spans="1:10" x14ac:dyDescent="0.3">
      <c r="A204" s="2" t="str">
        <f>작업!E204</f>
        <v>확률과 통계</v>
      </c>
      <c r="B204" s="2" t="str">
        <f>작업!F204</f>
        <v>1. 경우의 수</v>
      </c>
      <c r="C204" s="2" t="str">
        <f>작업!G204</f>
        <v>M. 여러 가지 순열과 중복 조합</v>
      </c>
      <c r="D204" s="2" t="str">
        <f>작업!H204</f>
        <v>같은 것이 있는 순열</v>
      </c>
      <c r="E204" s="2" t="str">
        <f>작업!C204&amp;"("&amp;VLOOKUP(작업!D204,작업!$N$2:$O$6,2,0)&amp;")"</f>
        <v>20240623(♥)</v>
      </c>
      <c r="F204" s="2" t="str">
        <f>작업!I204</f>
        <v>mun/20240623.png</v>
      </c>
      <c r="G204" s="2">
        <f>작업!J204</f>
        <v>3</v>
      </c>
      <c r="H204" s="2">
        <f>작업!D204</f>
        <v>1</v>
      </c>
      <c r="I204" s="2">
        <f>작업!K204</f>
        <v>1</v>
      </c>
      <c r="J204" s="2" t="str">
        <f>작업!L204</f>
        <v>https://ebsi.co.kr/ebs/lms/player/retrieveLmsPlayerHtml5Simple.ebs?medUrl=https://WSTR.ebsi.co.kr/M41M2301/S20230000297/S20230000297_1M4_100030039326.mp4&amp;strStartTm=118&amp;pType=2</v>
      </c>
    </row>
    <row r="205" spans="1:10" x14ac:dyDescent="0.3">
      <c r="A205" s="2" t="str">
        <f>작업!E205</f>
        <v>확률과 통계</v>
      </c>
      <c r="B205" s="2" t="str">
        <f>작업!F205</f>
        <v>2. 확률</v>
      </c>
      <c r="C205" s="2" t="str">
        <f>작업!G205</f>
        <v>P. 조건부 확률</v>
      </c>
      <c r="D205" s="2" t="str">
        <f>작업!H205</f>
        <v>조건부 확률</v>
      </c>
      <c r="E205" s="2" t="str">
        <f>작업!C205&amp;"("&amp;VLOOKUP(작업!D205,작업!$N$2:$O$6,2,0)&amp;")"</f>
        <v>20220926(♥♥)</v>
      </c>
      <c r="F205" s="2" t="str">
        <f>작업!I205</f>
        <v>mun/20220926.png</v>
      </c>
      <c r="G205" s="2">
        <f>작업!J205</f>
        <v>1</v>
      </c>
      <c r="H205" s="2">
        <f>작업!D205</f>
        <v>2</v>
      </c>
      <c r="I205" s="2">
        <f>작업!K205</f>
        <v>1</v>
      </c>
      <c r="J205" s="2" t="str">
        <f>작업!L205</f>
        <v>https://ebsi.co.kr/ebs/lms/player/retrieveLmsPlayerHtml5Simple.ebs?medUrl=https://WSTR.ebsi.co.kr/M41M2101/S20210001003/S20210001003_1M4_100030008433.mp4&amp;strStartTm=925&amp;pType=2</v>
      </c>
    </row>
    <row r="206" spans="1:10" x14ac:dyDescent="0.3">
      <c r="A206" s="2" t="str">
        <f>작업!E206</f>
        <v>확률과 통계</v>
      </c>
      <c r="B206" s="2" t="str">
        <f>작업!F206</f>
        <v>2. 확률</v>
      </c>
      <c r="C206" s="2" t="str">
        <f>작업!G206</f>
        <v>P. 조건부 확률</v>
      </c>
      <c r="D206" s="2" t="str">
        <f>작업!H206</f>
        <v>조건부 확률</v>
      </c>
      <c r="E206" s="2" t="str">
        <f>작업!C206&amp;"("&amp;VLOOKUP(작업!D206,작업!$N$2:$O$6,2,0)&amp;")"</f>
        <v>20230630(♥♥♥♥♥)</v>
      </c>
      <c r="F206" s="2" t="str">
        <f>작업!I206</f>
        <v>mun/20230630.png</v>
      </c>
      <c r="G206" s="2">
        <f>작업!J206</f>
        <v>9</v>
      </c>
      <c r="H206" s="2">
        <f>작업!D206</f>
        <v>5</v>
      </c>
      <c r="I206" s="2">
        <f>작업!K206</f>
        <v>1</v>
      </c>
      <c r="J206" s="2" t="str">
        <f>작업!L206</f>
        <v>https://ebsi.co.kr/ebs/lms/player/retrieveLmsPlayerHtml5Simple.ebs?medUrl=https://WSTR.ebsi.co.kr/M41M2201/S20220000268/S20220000268_1M4_100030024244.mp4&amp;strStartTm=2445&amp;pType=2</v>
      </c>
    </row>
    <row r="207" spans="1:10" x14ac:dyDescent="0.3">
      <c r="A207" s="2" t="str">
        <f>작업!E207</f>
        <v>확률과 통계</v>
      </c>
      <c r="B207" s="2" t="str">
        <f>작업!F207</f>
        <v>1. 경우의 수</v>
      </c>
      <c r="C207" s="2" t="str">
        <f>작업!G207</f>
        <v>N. 이항정리와 이항계수</v>
      </c>
      <c r="D207" s="2" t="str">
        <f>작업!H207</f>
        <v>전개식의 계수</v>
      </c>
      <c r="E207" s="2" t="str">
        <f>작업!C207&amp;"("&amp;VLOOKUP(작업!D207,작업!$N$2:$O$6,2,0)&amp;")"</f>
        <v>20240626(♥♥)</v>
      </c>
      <c r="F207" s="2" t="str">
        <f>작업!I207</f>
        <v>mun/20240626.png</v>
      </c>
      <c r="G207" s="2">
        <f>작업!J207</f>
        <v>1</v>
      </c>
      <c r="H207" s="2">
        <f>작업!D207</f>
        <v>2</v>
      </c>
      <c r="I207" s="2">
        <f>작업!K207</f>
        <v>1</v>
      </c>
      <c r="J207" s="2" t="str">
        <f>작업!L207</f>
        <v>https://ebsi.co.kr/ebs/lms/player/retrieveLmsPlayerHtml5Simple.ebs?medUrl=https://WSTR.ebsi.co.kr/M41M2301/S20230000297/S20230000297_1M4_100030039326.mp4&amp;strStartTm=897&amp;pType=2</v>
      </c>
    </row>
    <row r="208" spans="1:10" x14ac:dyDescent="0.3">
      <c r="A208" s="2" t="str">
        <f>작업!E208</f>
        <v>확률과 통계</v>
      </c>
      <c r="B208" s="2" t="str">
        <f>작업!F208</f>
        <v>2. 확률</v>
      </c>
      <c r="C208" s="2" t="str">
        <f>작업!G208</f>
        <v>P. 조건부 확률</v>
      </c>
      <c r="D208" s="2" t="str">
        <f>작업!H208</f>
        <v>조건부 확률</v>
      </c>
      <c r="E208" s="2" t="str">
        <f>작업!C208&amp;"("&amp;VLOOKUP(작업!D208,작업!$N$2:$O$6,2,0)&amp;")"</f>
        <v>20230924(♥)</v>
      </c>
      <c r="F208" s="2" t="str">
        <f>작업!I208</f>
        <v>mun/20230924.png</v>
      </c>
      <c r="G208" s="2">
        <f>작업!J208</f>
        <v>3</v>
      </c>
      <c r="H208" s="2">
        <f>작업!D208</f>
        <v>1</v>
      </c>
      <c r="I208" s="2">
        <f>작업!K208</f>
        <v>1</v>
      </c>
      <c r="J208" s="2" t="str">
        <f>작업!L208</f>
        <v>https://ebsi.co.kr/ebs/lms/player/retrieveLmsPlayerHtml5Simple.ebs?medUrl=https://WSTR.ebsi.co.kr/M41M2201/S20220000415/S20220000415_1M4_100030027368.mp4&amp;strStartTm=565&amp;pType=2</v>
      </c>
    </row>
    <row r="209" spans="1:10" x14ac:dyDescent="0.3">
      <c r="A209" s="2" t="str">
        <f>작업!E209</f>
        <v>확률과 통계</v>
      </c>
      <c r="B209" s="2" t="str">
        <f>작업!F209</f>
        <v>1. 경우의 수</v>
      </c>
      <c r="C209" s="2" t="str">
        <f>작업!G209</f>
        <v>M. 여러 가지 순열과 중복 조합</v>
      </c>
      <c r="D209" s="2" t="str">
        <f>작업!H209</f>
        <v>중복 순열</v>
      </c>
      <c r="E209" s="2" t="str">
        <f>작업!C209&amp;"("&amp;VLOOKUP(작업!D209,작업!$N$2:$O$6,2,0)&amp;")"</f>
        <v>20240628(♥♥♥♥♥)</v>
      </c>
      <c r="F209" s="2" t="str">
        <f>작업!I209</f>
        <v>mun/20240628.png</v>
      </c>
      <c r="G209" s="2">
        <f>작업!J209</f>
        <v>5</v>
      </c>
      <c r="H209" s="2">
        <f>작업!D209</f>
        <v>5</v>
      </c>
      <c r="I209" s="2">
        <f>작업!K209</f>
        <v>1</v>
      </c>
      <c r="J209" s="2" t="str">
        <f>작업!L209</f>
        <v>https://ebsi.co.kr/ebs/lms/player/retrieveLmsPlayerHtml5Simple.ebs?medUrl=https://WSTR.ebsi.co.kr/M41M2301/S20230000297/S20230000297_1M4_100030039326.mp4&amp;strStartTm=1536&amp;pType=2</v>
      </c>
    </row>
    <row r="210" spans="1:10" x14ac:dyDescent="0.3">
      <c r="A210" s="2" t="str">
        <f>작업!E210</f>
        <v>확률과 통계</v>
      </c>
      <c r="B210" s="2" t="str">
        <f>작업!F210</f>
        <v>1. 경우의 수</v>
      </c>
      <c r="C210" s="2" t="str">
        <f>작업!G210</f>
        <v>M. 여러 가지 순열과 중복 조합</v>
      </c>
      <c r="D210" s="2" t="str">
        <f>작업!H210</f>
        <v>중복 조합</v>
      </c>
      <c r="E210" s="2" t="str">
        <f>작업!C210&amp;"("&amp;VLOOKUP(작업!D210,작업!$N$2:$O$6,2,0)&amp;")"</f>
        <v>20240629(♥♥♥♥)</v>
      </c>
      <c r="F210" s="2" t="str">
        <f>작업!I210</f>
        <v>mun/20240629.png</v>
      </c>
      <c r="G210" s="2">
        <f>작업!J210</f>
        <v>25</v>
      </c>
      <c r="H210" s="2">
        <f>작업!D210</f>
        <v>4</v>
      </c>
      <c r="I210" s="2">
        <f>작업!K210</f>
        <v>1</v>
      </c>
      <c r="J210" s="2" t="str">
        <f>작업!L210</f>
        <v>https://ebsi.co.kr/ebs/lms/player/retrieveLmsPlayerHtml5Simple.ebs?medUrl=https://WSTR.ebsi.co.kr/M41M2301/S20230000297/S20230000297_1M4_100030039326.mp4&amp;strStartTm=2535&amp;pType=2</v>
      </c>
    </row>
    <row r="211" spans="1:10" x14ac:dyDescent="0.3">
      <c r="A211" s="2" t="str">
        <f>작업!E211</f>
        <v>확률과 통계</v>
      </c>
      <c r="B211" s="2" t="str">
        <f>작업!F211</f>
        <v>2. 확률</v>
      </c>
      <c r="C211" s="2" t="str">
        <f>작업!G211</f>
        <v>P. 조건부 확률</v>
      </c>
      <c r="D211" s="2" t="str">
        <f>작업!H211</f>
        <v>조건부 확률</v>
      </c>
      <c r="E211" s="2" t="str">
        <f>작업!C211&amp;"("&amp;VLOOKUP(작업!D211,작업!$N$2:$O$6,2,0)&amp;")"</f>
        <v>20231129(♥♥♥♥)</v>
      </c>
      <c r="F211" s="2" t="str">
        <f>작업!I211</f>
        <v>mun/20231129.png</v>
      </c>
      <c r="G211" s="2">
        <f>작업!J211</f>
        <v>49</v>
      </c>
      <c r="H211" s="2">
        <f>작업!D211</f>
        <v>4</v>
      </c>
      <c r="I211" s="2">
        <f>작업!K211</f>
        <v>1</v>
      </c>
      <c r="J211" s="2" t="str">
        <f>작업!L211</f>
        <v>https://ebsi.co.kr/ebs/lms/player/retrieveLmsPlayerHtml5Simple.ebs?medUrl=https://WSTR.ebsi.co.kr/M41M2201/S20220000620/S20220000620_1M4_100030028822.mp4&amp;strStartTm=1957&amp;pType=2</v>
      </c>
    </row>
    <row r="212" spans="1:10" x14ac:dyDescent="0.3">
      <c r="A212" s="2" t="str">
        <f>작업!E212</f>
        <v>수학Ⅰ</v>
      </c>
      <c r="B212" s="2" t="str">
        <f>작업!F212</f>
        <v>1. 지수함수와 로그함수</v>
      </c>
      <c r="C212" s="2" t="str">
        <f>작업!G212</f>
        <v>A. 지수와 로그</v>
      </c>
      <c r="D212" s="2" t="str">
        <f>작업!H212</f>
        <v>지수의 연산</v>
      </c>
      <c r="E212" s="2" t="str">
        <f>작업!C212&amp;"("&amp;VLOOKUP(작업!D212,작업!$N$2:$O$6,2,0)&amp;")"</f>
        <v>20240901(♥)</v>
      </c>
      <c r="F212" s="2" t="str">
        <f>작업!I212</f>
        <v>mun/20240901.png</v>
      </c>
      <c r="G212" s="2">
        <f>작업!J212</f>
        <v>5</v>
      </c>
      <c r="H212" s="2">
        <f>작업!D212</f>
        <v>1</v>
      </c>
      <c r="I212" s="2">
        <f>작업!K212</f>
        <v>1</v>
      </c>
      <c r="J212" s="2" t="str">
        <f>작업!L212</f>
        <v>https://ebsi.co.kr/ebs/lms/player/retrieveLmsPlayerHtml5Simple.ebs?medUrl=https://WSTR.ebsi.co.kr/M41M2301/S20230000491/S20230000491_1M4_100030043585.mp4&amp;strStartTm=206&amp;pType=2</v>
      </c>
    </row>
    <row r="213" spans="1:10" x14ac:dyDescent="0.3">
      <c r="A213" s="2" t="str">
        <f>작업!E213</f>
        <v>수학Ⅱ</v>
      </c>
      <c r="B213" s="2" t="str">
        <f>작업!F213</f>
        <v>2. 미분</v>
      </c>
      <c r="C213" s="2" t="str">
        <f>작업!G213</f>
        <v>I. 도함수</v>
      </c>
      <c r="D213" s="2" t="str">
        <f>작업!H213</f>
        <v>미분계수와 도함수</v>
      </c>
      <c r="E213" s="2" t="str">
        <f>작업!C213&amp;"("&amp;VLOOKUP(작업!D213,작업!$N$2:$O$6,2,0)&amp;")"</f>
        <v>20240902(♥)</v>
      </c>
      <c r="F213" s="2" t="str">
        <f>작업!I213</f>
        <v>mun/20240902.png</v>
      </c>
      <c r="G213" s="2">
        <f>작업!J213</f>
        <v>3</v>
      </c>
      <c r="H213" s="2">
        <f>작업!D213</f>
        <v>1</v>
      </c>
      <c r="I213" s="2">
        <f>작업!K213</f>
        <v>1</v>
      </c>
      <c r="J213" s="2" t="str">
        <f>작업!L213</f>
        <v>https://ebsi.co.kr/ebs/lms/player/retrieveLmsPlayerHtml5Simple.ebs?medUrl=https://WSTR.ebsi.co.kr/M41M2301/S20230000491/S20230000491_1M4_100030043586.mp4&amp;strStartTm=165&amp;pType=2</v>
      </c>
    </row>
    <row r="214" spans="1:10" x14ac:dyDescent="0.3">
      <c r="A214" s="2" t="str">
        <f>작업!E214</f>
        <v>수학Ⅰ</v>
      </c>
      <c r="B214" s="2" t="str">
        <f>작업!F214</f>
        <v>2. 삼각함수</v>
      </c>
      <c r="C214" s="2" t="str">
        <f>작업!G214</f>
        <v>C. 삼각함수</v>
      </c>
      <c r="D214" s="2" t="str">
        <f>작업!H214</f>
        <v>삼각함수의 값</v>
      </c>
      <c r="E214" s="2" t="str">
        <f>작업!C214&amp;"("&amp;VLOOKUP(작업!D214,작업!$N$2:$O$6,2,0)&amp;")"</f>
        <v>20240903(♥)</v>
      </c>
      <c r="F214" s="2" t="str">
        <f>작업!I214</f>
        <v>mun/20240903.png</v>
      </c>
      <c r="G214" s="2">
        <f>작업!J214</f>
        <v>2</v>
      </c>
      <c r="H214" s="2">
        <f>작업!D214</f>
        <v>1</v>
      </c>
      <c r="I214" s="2">
        <f>작업!K214</f>
        <v>1</v>
      </c>
      <c r="J214" s="2" t="str">
        <f>작업!L214</f>
        <v>https://ebsi.co.kr/ebs/lms/player/retrieveLmsPlayerHtml5Simple.ebs?medUrl=https://WSTR.ebsi.co.kr/M41M2301/S20230000491/S20230000491_1M4_100030043585.mp4&amp;strStartTm=297&amp;pType=2</v>
      </c>
    </row>
    <row r="215" spans="1:10" x14ac:dyDescent="0.3">
      <c r="A215" s="2" t="str">
        <f>작업!E215</f>
        <v>수학Ⅱ</v>
      </c>
      <c r="B215" s="2" t="str">
        <f>작업!F215</f>
        <v>1. 함수의 극한과 연속</v>
      </c>
      <c r="C215" s="2" t="str">
        <f>작업!G215</f>
        <v>G. 함수의 극한</v>
      </c>
      <c r="D215" s="2" t="str">
        <f>작업!H215</f>
        <v>함수의 극한</v>
      </c>
      <c r="E215" s="2" t="str">
        <f>작업!C215&amp;"("&amp;VLOOKUP(작업!D215,작업!$N$2:$O$6,2,0)&amp;")"</f>
        <v>20240904(♥♥)</v>
      </c>
      <c r="F215" s="2" t="str">
        <f>작업!I215</f>
        <v>mun/20240904.png</v>
      </c>
      <c r="G215" s="2">
        <f>작업!J215</f>
        <v>1</v>
      </c>
      <c r="H215" s="2">
        <f>작업!D215</f>
        <v>2</v>
      </c>
      <c r="I215" s="2">
        <f>작업!K215</f>
        <v>1</v>
      </c>
      <c r="J215" s="2" t="str">
        <f>작업!L215</f>
        <v>https://ebsi.co.kr/ebs/lms/player/retrieveLmsPlayerHtml5Simple.ebs?medUrl=https://WSTR.ebsi.co.kr/M41M2301/S20230000491/S20230000491_1M4_100030043586.mp4&amp;strStartTm=217&amp;pType=2</v>
      </c>
    </row>
    <row r="216" spans="1:10" x14ac:dyDescent="0.3">
      <c r="A216" s="2" t="str">
        <f>작업!E216</f>
        <v>수학Ⅰ</v>
      </c>
      <c r="B216" s="2" t="str">
        <f>작업!F216</f>
        <v>3. 수열</v>
      </c>
      <c r="C216" s="2" t="str">
        <f>작업!G216</f>
        <v>D. 등차수열과 등비수열</v>
      </c>
      <c r="D216" s="2" t="str">
        <f>작업!H216</f>
        <v>등비수열</v>
      </c>
      <c r="E216" s="2" t="str">
        <f>작업!C216&amp;"("&amp;VLOOKUP(작업!D216,작업!$N$2:$O$6,2,0)&amp;")"</f>
        <v>20240905(♥♥)</v>
      </c>
      <c r="F216" s="2" t="str">
        <f>작업!I216</f>
        <v>mun/20240905.png</v>
      </c>
      <c r="G216" s="2">
        <f>작업!J216</f>
        <v>5</v>
      </c>
      <c r="H216" s="2">
        <f>작업!D216</f>
        <v>2</v>
      </c>
      <c r="I216" s="2">
        <f>작업!K216</f>
        <v>1</v>
      </c>
      <c r="J216" s="2" t="str">
        <f>작업!L216</f>
        <v>https://ebsi.co.kr/ebs/lms/player/retrieveLmsPlayerHtml5Simple.ebs?medUrl=https://WSTR.ebsi.co.kr/M41M2301/S20230000491/S20230000491_1M4_100030043585.mp4&amp;strStartTm=417&amp;pType=2</v>
      </c>
    </row>
    <row r="217" spans="1:10" x14ac:dyDescent="0.3">
      <c r="A217" s="2" t="str">
        <f>작업!E217</f>
        <v>수학Ⅱ</v>
      </c>
      <c r="B217" s="2" t="str">
        <f>작업!F217</f>
        <v>2. 미분</v>
      </c>
      <c r="C217" s="2" t="str">
        <f>작업!G217</f>
        <v>J. 도함수의 활용</v>
      </c>
      <c r="D217" s="2" t="str">
        <f>작업!H217</f>
        <v>극대와 극소</v>
      </c>
      <c r="E217" s="2" t="str">
        <f>작업!C217&amp;"("&amp;VLOOKUP(작업!D217,작업!$N$2:$O$6,2,0)&amp;")"</f>
        <v>20240906(♥♥)</v>
      </c>
      <c r="F217" s="2" t="str">
        <f>작업!I217</f>
        <v>mun/20240906.png</v>
      </c>
      <c r="G217" s="2">
        <f>작업!J217</f>
        <v>3</v>
      </c>
      <c r="H217" s="2">
        <f>작업!D217</f>
        <v>2</v>
      </c>
      <c r="I217" s="2">
        <f>작업!K217</f>
        <v>1</v>
      </c>
      <c r="J217" s="2" t="str">
        <f>작업!L217</f>
        <v>https://ebsi.co.kr/ebs/lms/player/retrieveLmsPlayerHtml5Simple.ebs?medUrl=https://WSTR.ebsi.co.kr/M41M2301/S20230000491/S20230000491_1M4_100030043586.mp4&amp;strStartTm=285&amp;pType=2</v>
      </c>
    </row>
    <row r="218" spans="1:10" x14ac:dyDescent="0.3">
      <c r="A218" s="2" t="str">
        <f>작업!E218</f>
        <v>수학Ⅰ</v>
      </c>
      <c r="B218" s="2" t="str">
        <f>작업!F218</f>
        <v>1. 지수함수와 로그함수</v>
      </c>
      <c r="C218" s="2" t="str">
        <f>작업!G218</f>
        <v>A. 지수와 로그</v>
      </c>
      <c r="D218" s="2" t="str">
        <f>작업!H218</f>
        <v>로그의 연산</v>
      </c>
      <c r="E218" s="2" t="str">
        <f>작업!C218&amp;"("&amp;VLOOKUP(작업!D218,작업!$N$2:$O$6,2,0)&amp;")"</f>
        <v>20240907(♥♥)</v>
      </c>
      <c r="F218" s="2" t="str">
        <f>작업!I218</f>
        <v>mun/20240907.png</v>
      </c>
      <c r="G218" s="2">
        <f>작업!J218</f>
        <v>4</v>
      </c>
      <c r="H218" s="2">
        <f>작업!D218</f>
        <v>2</v>
      </c>
      <c r="I218" s="2">
        <f>작업!K218</f>
        <v>1</v>
      </c>
      <c r="J218" s="2" t="str">
        <f>작업!L218</f>
        <v>https://ebsi.co.kr/ebs/lms/player/retrieveLmsPlayerHtml5Simple.ebs?medUrl=https://WSTR.ebsi.co.kr/M41M2301/S20230000491/S20230000491_1M4_100030043585.mp4&amp;strStartTm=623&amp;pType=2</v>
      </c>
    </row>
    <row r="219" spans="1:10" x14ac:dyDescent="0.3">
      <c r="A219" s="2" t="str">
        <f>작업!E219</f>
        <v>수학Ⅱ</v>
      </c>
      <c r="B219" s="2" t="str">
        <f>작업!F219</f>
        <v>3. 적분</v>
      </c>
      <c r="C219" s="2" t="str">
        <f>작업!G219</f>
        <v>K. 부정적분</v>
      </c>
      <c r="D219" s="2" t="str">
        <f>작업!H219</f>
        <v>부정적분</v>
      </c>
      <c r="E219" s="2" t="str">
        <f>작업!C219&amp;"("&amp;VLOOKUP(작업!D219,작업!$N$2:$O$6,2,0)&amp;")"</f>
        <v>20240908(♥♥)</v>
      </c>
      <c r="F219" s="2" t="str">
        <f>작업!I219</f>
        <v>mun/20240908.png</v>
      </c>
      <c r="G219" s="2">
        <f>작업!J219</f>
        <v>4</v>
      </c>
      <c r="H219" s="2">
        <f>작업!D219</f>
        <v>2</v>
      </c>
      <c r="I219" s="2">
        <f>작업!K219</f>
        <v>1</v>
      </c>
      <c r="J219" s="2" t="str">
        <f>작업!L219</f>
        <v>https://ebsi.co.kr/ebs/lms/player/retrieveLmsPlayerHtml5Simple.ebs?medUrl=https://WSTR.ebsi.co.kr/M41M2301/S20230000491/S20230000491_1M4_100030043586.mp4&amp;strStartTm=483&amp;pType=2</v>
      </c>
    </row>
    <row r="220" spans="1:10" x14ac:dyDescent="0.3">
      <c r="A220" s="2" t="str">
        <f>작업!E220</f>
        <v>수학Ⅰ</v>
      </c>
      <c r="B220" s="2" t="str">
        <f>작업!F220</f>
        <v>2. 삼각함수</v>
      </c>
      <c r="C220" s="2" t="str">
        <f>작업!G220</f>
        <v>C. 삼각함수</v>
      </c>
      <c r="D220" s="2" t="str">
        <f>작업!H220</f>
        <v>방정식과 부등식에의 활용</v>
      </c>
      <c r="E220" s="2" t="str">
        <f>작업!C220&amp;"("&amp;VLOOKUP(작업!D220,작업!$N$2:$O$6,2,0)&amp;")"</f>
        <v>20240909(♥♥♥)</v>
      </c>
      <c r="F220" s="2" t="str">
        <f>작업!I220</f>
        <v>mun/20240909.png</v>
      </c>
      <c r="G220" s="2">
        <f>작업!J220</f>
        <v>3</v>
      </c>
      <c r="H220" s="2">
        <f>작업!D220</f>
        <v>3</v>
      </c>
      <c r="I220" s="2">
        <f>작업!K220</f>
        <v>1</v>
      </c>
      <c r="J220" s="2" t="str">
        <f>작업!L220</f>
        <v>https://ebsi.co.kr/ebs/lms/player/retrieveLmsPlayerHtml5Simple.ebs?medUrl=https://WSTR.ebsi.co.kr/M41M2301/S20230000491/S20230000491_1M4_100030043585.mp4&amp;strStartTm=810&amp;pType=2</v>
      </c>
    </row>
    <row r="221" spans="1:10" x14ac:dyDescent="0.3">
      <c r="A221" s="2" t="str">
        <f>작업!E221</f>
        <v>수학Ⅱ</v>
      </c>
      <c r="B221" s="2" t="str">
        <f>작업!F221</f>
        <v>2. 미분</v>
      </c>
      <c r="C221" s="2" t="str">
        <f>작업!G221</f>
        <v>J. 도함수의 활용</v>
      </c>
      <c r="D221" s="2" t="str">
        <f>작업!H221</f>
        <v>접선의 방정식</v>
      </c>
      <c r="E221" s="2" t="str">
        <f>작업!C221&amp;"("&amp;VLOOKUP(작업!D221,작업!$N$2:$O$6,2,0)&amp;")"</f>
        <v>20240910(♥♥♥)</v>
      </c>
      <c r="F221" s="2" t="str">
        <f>작업!I221</f>
        <v>mun/20240910.png</v>
      </c>
      <c r="G221" s="2">
        <f>작업!J221</f>
        <v>3</v>
      </c>
      <c r="H221" s="2">
        <f>작업!D221</f>
        <v>3</v>
      </c>
      <c r="I221" s="2">
        <f>작업!K221</f>
        <v>1</v>
      </c>
      <c r="J221" s="2" t="str">
        <f>작업!L221</f>
        <v>https://ebsi.co.kr/ebs/lms/player/retrieveLmsPlayerHtml5Simple.ebs?medUrl=https://WSTR.ebsi.co.kr/M41M2301/S20230000491/S20230000491_1M4_100030043586.mp4&amp;strStartTm=621&amp;pType=2</v>
      </c>
    </row>
    <row r="222" spans="1:10" x14ac:dyDescent="0.3">
      <c r="A222" s="2" t="str">
        <f>작업!E222</f>
        <v>수학Ⅱ</v>
      </c>
      <c r="B222" s="2" t="str">
        <f>작업!F222</f>
        <v>3. 적분</v>
      </c>
      <c r="C222" s="2" t="str">
        <f>작업!G222</f>
        <v>L. 정적분</v>
      </c>
      <c r="D222" s="2" t="str">
        <f>작업!H222</f>
        <v>속도와 거리</v>
      </c>
      <c r="E222" s="2" t="str">
        <f>작업!C222&amp;"("&amp;VLOOKUP(작업!D222,작업!$N$2:$O$6,2,0)&amp;")"</f>
        <v>20240911(♥♥♥)</v>
      </c>
      <c r="F222" s="2" t="str">
        <f>작업!I222</f>
        <v>mun/20240911.png</v>
      </c>
      <c r="G222" s="2">
        <f>작업!J222</f>
        <v>5</v>
      </c>
      <c r="H222" s="2">
        <f>작업!D222</f>
        <v>3</v>
      </c>
      <c r="I222" s="2">
        <f>작업!K222</f>
        <v>1</v>
      </c>
      <c r="J222" s="2" t="str">
        <f>작업!L222</f>
        <v>https://ebsi.co.kr/ebs/lms/player/retrieveLmsPlayerHtml5Simple.ebs?medUrl=https://WSTR.ebsi.co.kr/M41M2301/S20230000491/S20230000491_1M4_100030043586.mp4&amp;strStartTm=1278&amp;pType=2</v>
      </c>
    </row>
    <row r="223" spans="1:10" x14ac:dyDescent="0.3">
      <c r="A223" s="2" t="str">
        <f>작업!E223</f>
        <v>수학Ⅰ</v>
      </c>
      <c r="B223" s="2" t="str">
        <f>작업!F223</f>
        <v>3. 수열</v>
      </c>
      <c r="C223" s="2" t="str">
        <f>작업!G223</f>
        <v>F. 수학적 귀납법</v>
      </c>
      <c r="D223" s="2" t="str">
        <f>작업!H223</f>
        <v>수열의 귀납적 정의</v>
      </c>
      <c r="E223" s="2" t="str">
        <f>작업!C223&amp;"("&amp;VLOOKUP(작업!D223,작업!$N$2:$O$6,2,0)&amp;")"</f>
        <v>20240912(♥♥♥♥)</v>
      </c>
      <c r="F223" s="2" t="str">
        <f>작업!I223</f>
        <v>mun/20240912.png</v>
      </c>
      <c r="G223" s="2">
        <f>작업!J223</f>
        <v>1</v>
      </c>
      <c r="H223" s="2">
        <f>작업!D223</f>
        <v>4</v>
      </c>
      <c r="I223" s="2">
        <f>작업!K223</f>
        <v>1</v>
      </c>
      <c r="J223" s="2" t="str">
        <f>작업!L223</f>
        <v>https://ebsi.co.kr/ebs/lms/player/retrieveLmsPlayerHtml5Simple.ebs?medUrl=https://WSTR.ebsi.co.kr/M41M2301/S20230000491/S20230000491_1M4_100030043585.mp4&amp;strStartTm=1088&amp;pType=2</v>
      </c>
    </row>
    <row r="224" spans="1:10" x14ac:dyDescent="0.3">
      <c r="A224" s="2" t="str">
        <f>작업!E224</f>
        <v>수학Ⅱ</v>
      </c>
      <c r="B224" s="2" t="str">
        <f>작업!F224</f>
        <v>2. 미분</v>
      </c>
      <c r="C224" s="2" t="str">
        <f>작업!G224</f>
        <v>J. 도함수의 활용</v>
      </c>
      <c r="D224" s="2" t="str">
        <f>작업!H224</f>
        <v>그래프의 개형</v>
      </c>
      <c r="E224" s="2" t="str">
        <f>작업!C224&amp;"("&amp;VLOOKUP(작업!D224,작업!$N$2:$O$6,2,0)&amp;")"</f>
        <v>20240913(♥♥♥♥)</v>
      </c>
      <c r="F224" s="2" t="str">
        <f>작업!I224</f>
        <v>mun/20240913.png</v>
      </c>
      <c r="G224" s="2">
        <f>작업!J224</f>
        <v>3</v>
      </c>
      <c r="H224" s="2">
        <f>작업!D224</f>
        <v>4</v>
      </c>
      <c r="I224" s="2">
        <f>작업!K224</f>
        <v>1</v>
      </c>
      <c r="J224" s="2" t="str">
        <f>작업!L224</f>
        <v>https://ebsi.co.kr/ebs/lms/player/retrieveLmsPlayerHtml5Simple.ebs?medUrl=https://WSTR.ebsi.co.kr/M41M2301/S20230000491/S20230000491_1M4_100030043586.mp4&amp;strStartTm=1946&amp;pType=2</v>
      </c>
    </row>
    <row r="225" spans="1:10" x14ac:dyDescent="0.3">
      <c r="A225" s="2" t="str">
        <f>작업!E225</f>
        <v>수학Ⅰ</v>
      </c>
      <c r="B225" s="2" t="str">
        <f>작업!F225</f>
        <v>1. 지수함수와 로그함수</v>
      </c>
      <c r="C225" s="2" t="str">
        <f>작업!G225</f>
        <v>B. 지수함수와 로그함수</v>
      </c>
      <c r="D225" s="2" t="str">
        <f>작업!H225</f>
        <v>지수함수의 그래프</v>
      </c>
      <c r="E225" s="2" t="str">
        <f>작업!C225&amp;"("&amp;VLOOKUP(작업!D225,작업!$N$2:$O$6,2,0)&amp;")"</f>
        <v>20240914(♥♥♥♥)</v>
      </c>
      <c r="F225" s="2" t="str">
        <f>작업!I225</f>
        <v>mun/20240914.png</v>
      </c>
      <c r="G225" s="2">
        <f>작업!J225</f>
        <v>2</v>
      </c>
      <c r="H225" s="2">
        <f>작업!D225</f>
        <v>4</v>
      </c>
      <c r="I225" s="2">
        <f>작업!K225</f>
        <v>1</v>
      </c>
      <c r="J225" s="2" t="str">
        <f>작업!L225</f>
        <v>https://ebsi.co.kr/ebs/lms/player/retrieveLmsPlayerHtml5Simple.ebs?medUrl=https://WSTR.ebsi.co.kr/M41M2301/S20230000491/S20230000491_1M4_100030043585.mp4&amp;strStartTm=1466&amp;pType=2</v>
      </c>
    </row>
    <row r="226" spans="1:10" x14ac:dyDescent="0.3">
      <c r="A226" s="2" t="str">
        <f>작업!E226</f>
        <v>수학Ⅱ</v>
      </c>
      <c r="B226" s="2" t="str">
        <f>작업!F226</f>
        <v>1. 함수의 극한과 연속</v>
      </c>
      <c r="C226" s="2" t="str">
        <f>작업!G226</f>
        <v>H. 함수의 연속</v>
      </c>
      <c r="D226" s="2" t="str">
        <f>작업!H226</f>
        <v>함수의 연속</v>
      </c>
      <c r="E226" s="2" t="str">
        <f>작업!C226&amp;"("&amp;VLOOKUP(작업!D226,작업!$N$2:$O$6,2,0)&amp;")"</f>
        <v>20240915(♥♥♥♥♥)</v>
      </c>
      <c r="F226" s="2" t="str">
        <f>작업!I226</f>
        <v>mun/20240915.png</v>
      </c>
      <c r="G226" s="2">
        <f>작업!J226</f>
        <v>4</v>
      </c>
      <c r="H226" s="2">
        <f>작업!D226</f>
        <v>5</v>
      </c>
      <c r="I226" s="2">
        <f>작업!K226</f>
        <v>1</v>
      </c>
      <c r="J226" s="2" t="str">
        <f>작업!L226</f>
        <v>https://ebsi.co.kr/ebs/lms/player/retrieveLmsPlayerHtml5Simple.ebs?medUrl=https://WSTR.ebsi.co.kr/M41M2301/S20230000491/S20230000491_1M4_100030043586.mp4&amp;strStartTm=2922&amp;pType=2</v>
      </c>
    </row>
    <row r="227" spans="1:10" x14ac:dyDescent="0.3">
      <c r="A227" s="2" t="str">
        <f>작업!E227</f>
        <v>수학Ⅰ</v>
      </c>
      <c r="B227" s="2" t="str">
        <f>작업!F227</f>
        <v>1. 지수함수와 로그함수</v>
      </c>
      <c r="C227" s="2" t="str">
        <f>작업!G227</f>
        <v>B. 지수함수와 로그함수</v>
      </c>
      <c r="D227" s="2" t="str">
        <f>작업!H227</f>
        <v>방정식과 부등식에의 활용</v>
      </c>
      <c r="E227" s="2" t="str">
        <f>작업!C227&amp;"("&amp;VLOOKUP(작업!D227,작업!$N$2:$O$6,2,0)&amp;")"</f>
        <v>20240916(♥)</v>
      </c>
      <c r="F227" s="2" t="str">
        <f>작업!I227</f>
        <v>mun/20240916.png</v>
      </c>
      <c r="G227" s="2">
        <f>작업!J227</f>
        <v>6</v>
      </c>
      <c r="H227" s="2">
        <f>작업!D227</f>
        <v>1</v>
      </c>
      <c r="I227" s="2">
        <f>작업!K227</f>
        <v>1</v>
      </c>
      <c r="J227" s="2" t="str">
        <f>작업!L227</f>
        <v>https://ebsi.co.kr/ebs/lms/player/retrieveLmsPlayerHtml5Simple.ebs?medUrl=https://WSTR.ebsi.co.kr/M41M2301/S20230000491/S20230000491_1M4_100030043585.mp4&amp;strStartTm=2122&amp;pType=2</v>
      </c>
    </row>
    <row r="228" spans="1:10" x14ac:dyDescent="0.3">
      <c r="A228" s="2" t="str">
        <f>작업!E228</f>
        <v>수학Ⅰ</v>
      </c>
      <c r="B228" s="2" t="str">
        <f>작업!F228</f>
        <v>3. 수열</v>
      </c>
      <c r="C228" s="2" t="str">
        <f>작업!G228</f>
        <v>E. 수열의 합</v>
      </c>
      <c r="D228" s="2" t="str">
        <f>작업!H228</f>
        <v>시그마의 뜻과 성질</v>
      </c>
      <c r="E228" s="2" t="str">
        <f>작업!C228&amp;"("&amp;VLOOKUP(작업!D228,작업!$N$2:$O$6,2,0)&amp;")"</f>
        <v>20240917(♥)</v>
      </c>
      <c r="F228" s="2" t="str">
        <f>작업!I228</f>
        <v>mun/20240917.png</v>
      </c>
      <c r="G228" s="2">
        <f>작업!J228</f>
        <v>24</v>
      </c>
      <c r="H228" s="2">
        <f>작업!D228</f>
        <v>1</v>
      </c>
      <c r="I228" s="2">
        <f>작업!K228</f>
        <v>1</v>
      </c>
      <c r="J228" s="2" t="str">
        <f>작업!L228</f>
        <v>https://ebsi.co.kr/ebs/lms/player/retrieveLmsPlayerHtml5Simple.ebs?medUrl=https://WSTR.ebsi.co.kr/M41M2301/S20230000491/S20230000491_1M4_100030043585.mp4&amp;strStartTm=2236&amp;pType=2</v>
      </c>
    </row>
    <row r="229" spans="1:10" x14ac:dyDescent="0.3">
      <c r="A229" s="2" t="str">
        <f>작업!E229</f>
        <v>수학Ⅱ</v>
      </c>
      <c r="B229" s="2" t="str">
        <f>작업!F229</f>
        <v>2. 미분</v>
      </c>
      <c r="C229" s="2" t="str">
        <f>작업!G229</f>
        <v>I. 도함수</v>
      </c>
      <c r="D229" s="2" t="str">
        <f>작업!H229</f>
        <v>곱함수의 미분법</v>
      </c>
      <c r="E229" s="2" t="str">
        <f>작업!C229&amp;"("&amp;VLOOKUP(작업!D229,작업!$N$2:$O$6,2,0)&amp;")"</f>
        <v>20240918(♥♥♥)</v>
      </c>
      <c r="F229" s="2" t="str">
        <f>작업!I229</f>
        <v>mun/20240918.png</v>
      </c>
      <c r="G229" s="2">
        <f>작업!J229</f>
        <v>5</v>
      </c>
      <c r="H229" s="2">
        <f>작업!D229</f>
        <v>3</v>
      </c>
      <c r="I229" s="2">
        <f>작업!K229</f>
        <v>1</v>
      </c>
      <c r="J229" s="2" t="str">
        <f>작업!L229</f>
        <v>https://ebsi.co.kr/ebs/lms/player/retrieveLmsPlayerHtml5Simple.ebs?medUrl=https://WSTR.ebsi.co.kr/M41M2301/S20230000491/S20230000491_1M4_100030043586.mp4&amp;strStartTm=3376&amp;pType=2</v>
      </c>
    </row>
    <row r="230" spans="1:10" x14ac:dyDescent="0.3">
      <c r="A230" s="2" t="str">
        <f>작업!E230</f>
        <v>수학Ⅱ</v>
      </c>
      <c r="B230" s="2" t="str">
        <f>작업!F230</f>
        <v>3. 적분</v>
      </c>
      <c r="C230" s="2" t="str">
        <f>작업!G230</f>
        <v>L. 정적분</v>
      </c>
      <c r="D230" s="2" t="str">
        <f>작업!H230</f>
        <v>곡선 사이의 넓이</v>
      </c>
      <c r="E230" s="2" t="str">
        <f>작업!C230&amp;"("&amp;VLOOKUP(작업!D230,작업!$N$2:$O$6,2,0)&amp;")"</f>
        <v>20240919(♥♥♥)</v>
      </c>
      <c r="F230" s="2" t="str">
        <f>작업!I230</f>
        <v>mun/20240919.png</v>
      </c>
      <c r="G230" s="2">
        <f>작업!J230</f>
        <v>4</v>
      </c>
      <c r="H230" s="2">
        <f>작업!D230</f>
        <v>3</v>
      </c>
      <c r="I230" s="2">
        <f>작업!K230</f>
        <v>1</v>
      </c>
      <c r="J230" s="2" t="str">
        <f>작업!L230</f>
        <v>https://ebsi.co.kr/ebs/lms/player/retrieveLmsPlayerHtml5Simple.ebs?medUrl=https://WSTR.ebsi.co.kr/M41M2301/S20230000491/S20230000491_1M4_100030043586.mp4&amp;strStartTm=3449&amp;pType=2</v>
      </c>
    </row>
    <row r="231" spans="1:10" x14ac:dyDescent="0.3">
      <c r="A231" s="2" t="str">
        <f>작업!E231</f>
        <v>수학Ⅰ</v>
      </c>
      <c r="B231" s="2" t="str">
        <f>작업!F231</f>
        <v>2. 삼각함수</v>
      </c>
      <c r="C231" s="2" t="str">
        <f>작업!G231</f>
        <v>C. 삼각함수</v>
      </c>
      <c r="D231" s="2" t="str">
        <f>작업!H231</f>
        <v>사인법칙과 코사인법칙</v>
      </c>
      <c r="E231" s="2" t="str">
        <f>작업!C231&amp;"("&amp;VLOOKUP(작업!D231,작업!$N$2:$O$6,2,0)&amp;")"</f>
        <v>20240920(♥♥♥♥)</v>
      </c>
      <c r="F231" s="2" t="str">
        <f>작업!I231</f>
        <v>mun/20240920.png</v>
      </c>
      <c r="G231" s="2">
        <f>작업!J231</f>
        <v>98</v>
      </c>
      <c r="H231" s="2">
        <f>작업!D231</f>
        <v>4</v>
      </c>
      <c r="I231" s="2">
        <f>작업!K231</f>
        <v>1</v>
      </c>
      <c r="J231" s="2" t="str">
        <f>작업!L231</f>
        <v>https://ebsi.co.kr/ebs/lms/player/retrieveLmsPlayerHtml5Simple.ebs?medUrl=https://WSTR.ebsi.co.kr/M41M2301/S20230000491/S20230000491_1M4_100030043585.mp4&amp;strStartTm=2316&amp;pType=2</v>
      </c>
    </row>
    <row r="232" spans="1:10" x14ac:dyDescent="0.3">
      <c r="A232" s="2" t="str">
        <f>작업!E232</f>
        <v>수학Ⅰ</v>
      </c>
      <c r="B232" s="2" t="str">
        <f>작업!F232</f>
        <v>3. 수열</v>
      </c>
      <c r="C232" s="2" t="str">
        <f>작업!G232</f>
        <v>E. 수열의 합</v>
      </c>
      <c r="D232" s="2" t="str">
        <f>작업!H232</f>
        <v>여러 가지 수열의 합</v>
      </c>
      <c r="E232" s="2" t="str">
        <f>작업!C232&amp;"("&amp;VLOOKUP(작업!D232,작업!$N$2:$O$6,2,0)&amp;")"</f>
        <v>20240921(♥♥♥♥)</v>
      </c>
      <c r="F232" s="2" t="str">
        <f>작업!I232</f>
        <v>mun/20240921.png</v>
      </c>
      <c r="G232" s="2">
        <f>작업!J232</f>
        <v>19</v>
      </c>
      <c r="H232" s="2">
        <f>작업!D232</f>
        <v>4</v>
      </c>
      <c r="I232" s="2">
        <f>작업!K232</f>
        <v>1</v>
      </c>
      <c r="J232" s="2" t="str">
        <f>작업!L232</f>
        <v>https://ebsi.co.kr/ebs/lms/player/retrieveLmsPlayerHtml5Simple.ebs?medUrl=https://WSTR.ebsi.co.kr/M41M2301/S20230000491/S20230000491_1M4_100030043585.mp4&amp;strStartTm=2614&amp;pType=2</v>
      </c>
    </row>
    <row r="233" spans="1:10" x14ac:dyDescent="0.3">
      <c r="A233" s="2" t="str">
        <f>작업!E233</f>
        <v>수학Ⅱ</v>
      </c>
      <c r="B233" s="2" t="str">
        <f>작업!F233</f>
        <v>3. 적분</v>
      </c>
      <c r="C233" s="2" t="str">
        <f>작업!G233</f>
        <v>L. 정적분</v>
      </c>
      <c r="D233" s="2" t="str">
        <f>작업!H233</f>
        <v>미적분학의 기본 정리</v>
      </c>
      <c r="E233" s="2" t="str">
        <f>작업!C233&amp;"("&amp;VLOOKUP(작업!D233,작업!$N$2:$O$6,2,0)&amp;")"</f>
        <v>20240922(♥♥♥♥♥)</v>
      </c>
      <c r="F233" s="2" t="str">
        <f>작업!I233</f>
        <v>mun/20240922.png</v>
      </c>
      <c r="G233" s="2">
        <f>작업!J233</f>
        <v>10</v>
      </c>
      <c r="H233" s="2">
        <f>작업!D233</f>
        <v>5</v>
      </c>
      <c r="I233" s="2">
        <f>작업!K233</f>
        <v>1</v>
      </c>
      <c r="J233" s="2" t="str">
        <f>작업!L233</f>
        <v>https://ebsi.co.kr/ebs/lms/player/retrieveLmsPlayerHtml5Simple.ebs?medUrl=https://WSTR.ebsi.co.kr/M41M2301/S20230000491/S20230000491_1M4_100030043586.mp4&amp;strStartTm=3597&amp;pType=2</v>
      </c>
    </row>
    <row r="234" spans="1:10" x14ac:dyDescent="0.3">
      <c r="A234" s="2" t="str">
        <f>작업!E234</f>
        <v>확률과 통계</v>
      </c>
      <c r="B234" s="2" t="str">
        <f>작업!F234</f>
        <v>2. 확률</v>
      </c>
      <c r="C234" s="2" t="str">
        <f>작업!G234</f>
        <v>P. 조건부 확률</v>
      </c>
      <c r="D234" s="2" t="str">
        <f>작업!H234</f>
        <v>조건부 확률</v>
      </c>
      <c r="E234" s="2" t="str">
        <f>작업!C234&amp;"("&amp;VLOOKUP(작업!D234,작업!$N$2:$O$6,2,0)&amp;")"</f>
        <v>20240627(♥♥♥)</v>
      </c>
      <c r="F234" s="2" t="str">
        <f>작업!I234</f>
        <v>mun/20240627.png</v>
      </c>
      <c r="G234" s="2">
        <f>작업!J234</f>
        <v>2</v>
      </c>
      <c r="H234" s="2">
        <f>작업!D234</f>
        <v>3</v>
      </c>
      <c r="I234" s="2">
        <f>작업!K234</f>
        <v>1</v>
      </c>
      <c r="J234" s="2" t="str">
        <f>작업!L234</f>
        <v>https://ebsi.co.kr/ebs/lms/player/retrieveLmsPlayerHtml5Simple.ebs?medUrl=https://WSTR.ebsi.co.kr/M41M2301/S20230000297/S20230000297_1M4_100030039326.mp4&amp;strStartTm=1259&amp;pType=2</v>
      </c>
    </row>
    <row r="235" spans="1:10" x14ac:dyDescent="0.3">
      <c r="A235" s="2" t="str">
        <f>작업!E235</f>
        <v>확률과 통계</v>
      </c>
      <c r="B235" s="2" t="str">
        <f>작업!F235</f>
        <v>1. 경우의 수</v>
      </c>
      <c r="C235" s="2" t="str">
        <f>작업!G235</f>
        <v>M. 여러 가지 순열과 중복 조합</v>
      </c>
      <c r="D235" s="2" t="str">
        <f>작업!H235</f>
        <v>같은 것이 있는 순열</v>
      </c>
      <c r="E235" s="2" t="str">
        <f>작업!C235&amp;"("&amp;VLOOKUP(작업!D235,작업!$N$2:$O$6,2,0)&amp;")"</f>
        <v>20240924(♥)</v>
      </c>
      <c r="F235" s="2" t="str">
        <f>작업!I235</f>
        <v>mun/20240924.png</v>
      </c>
      <c r="G235" s="2">
        <f>작업!J235</f>
        <v>3</v>
      </c>
      <c r="H235" s="2">
        <f>작업!D235</f>
        <v>1</v>
      </c>
      <c r="I235" s="2">
        <f>작업!K235</f>
        <v>1</v>
      </c>
      <c r="J235" s="2" t="str">
        <f>작업!L235</f>
        <v>https://ebsi.co.kr/ebs/lms/player/retrieveLmsPlayerHtml5Simple.ebs?medUrl=https://WSTR.ebsi.co.kr/M41M2301/S20230000491/S20230000491_1M4_100030043587.mp4&amp;strStartTm=450&amp;pType=2</v>
      </c>
    </row>
    <row r="236" spans="1:10" x14ac:dyDescent="0.3">
      <c r="A236" s="2" t="str">
        <f>작업!E236</f>
        <v>확률과 통계</v>
      </c>
      <c r="B236" s="2" t="str">
        <f>작업!F236</f>
        <v>2. 확률</v>
      </c>
      <c r="C236" s="2" t="str">
        <f>작업!G236</f>
        <v>P. 조건부 확률</v>
      </c>
      <c r="D236" s="2" t="str">
        <f>작업!H236</f>
        <v>조건부 확률</v>
      </c>
      <c r="E236" s="2" t="str">
        <f>작업!C236&amp;"("&amp;VLOOKUP(작업!D236,작업!$N$2:$O$6,2,0)&amp;")"</f>
        <v>20241128(♥♥♥♥♥)</v>
      </c>
      <c r="F236" s="2" t="str">
        <f>작업!I236</f>
        <v>mun/20241128.png</v>
      </c>
      <c r="G236" s="2">
        <f>작업!J236</f>
        <v>4</v>
      </c>
      <c r="H236" s="2">
        <f>작업!D236</f>
        <v>5</v>
      </c>
      <c r="I236" s="2">
        <f>작업!K236</f>
        <v>1</v>
      </c>
      <c r="J236" s="2" t="str">
        <f>작업!L236</f>
        <v>https://ebsi.co.kr/ebs/lms/player/retrieveLmsPlayerHtml5Simple.ebs?medUrl=https://WSTR.ebsi.co.kr/M41M2301/S20230000616/S20230000616_1M4_100030044876.mp4&amp;strStartTm=1477&amp;pType=2</v>
      </c>
    </row>
    <row r="237" spans="1:10" x14ac:dyDescent="0.3">
      <c r="A237" s="2" t="str">
        <f>작업!E237</f>
        <v>확률과 통계</v>
      </c>
      <c r="B237" s="2" t="str">
        <f>작업!F237</f>
        <v>2. 확률</v>
      </c>
      <c r="C237" s="2" t="str">
        <f>작업!G237</f>
        <v>P. 조건부 확률</v>
      </c>
      <c r="D237" s="2" t="str">
        <f>작업!H237</f>
        <v>조건부 확률</v>
      </c>
      <c r="E237" s="2" t="str">
        <f>작업!C237&amp;"("&amp;VLOOKUP(작업!D237,작업!$N$2:$O$6,2,0)&amp;")"</f>
        <v>20250628(♥♥♥♥)</v>
      </c>
      <c r="F237" s="2" t="str">
        <f>작업!I237</f>
        <v>mun/20250628.png</v>
      </c>
      <c r="G237" s="2">
        <f>작업!J237</f>
        <v>1</v>
      </c>
      <c r="H237" s="2">
        <f>작업!D237</f>
        <v>4</v>
      </c>
      <c r="I237" s="2">
        <f>작업!K237</f>
        <v>1</v>
      </c>
      <c r="J237" s="2" t="str">
        <f>작업!L237</f>
        <v>https://ebsi.co.kr/ebs/lms/player/retrieveLmsPlayerHtml5Simple.ebs?medUrl=https://WSTR.ebsi.co.kr/M41M2401/S20240000260/S20240000260_1M4_100030054382.mp4&amp;strStartTm=1406&amp;pType=2</v>
      </c>
    </row>
    <row r="238" spans="1:10" x14ac:dyDescent="0.3">
      <c r="A238" s="2" t="str">
        <f>작업!E238</f>
        <v>확률과 통계</v>
      </c>
      <c r="B238" s="2" t="str">
        <f>작업!F238</f>
        <v>2. 확률</v>
      </c>
      <c r="C238" s="2" t="str">
        <f>작업!G238</f>
        <v>P. 조건부 확률</v>
      </c>
      <c r="D238" s="2" t="str">
        <f>작업!H238</f>
        <v>조건부 확률</v>
      </c>
      <c r="E238" s="2" t="str">
        <f>작업!C238&amp;"("&amp;VLOOKUP(작업!D238,작업!$N$2:$O$6,2,0)&amp;")"</f>
        <v>20250928(♥♥♥♥)</v>
      </c>
      <c r="F238" s="2" t="str">
        <f>작업!I238</f>
        <v>mun/20250928.png</v>
      </c>
      <c r="G238" s="2">
        <f>작업!J238</f>
        <v>4</v>
      </c>
      <c r="H238" s="2">
        <f>작업!D238</f>
        <v>4</v>
      </c>
      <c r="I238" s="2">
        <f>작업!K238</f>
        <v>1</v>
      </c>
      <c r="J238" s="2" t="str">
        <f>작업!L238</f>
        <v>https://ebsi.co.kr/ebs/lms/player/retrieveLmsPlayerHtml5Simple.ebs?medUrl=https://WSTR.ebsi.co.kr/M41M2401/S20240000528/S20240000528_1M4_100030058242.mp4&amp;strStartTm=1327&amp;pType=2</v>
      </c>
    </row>
    <row r="239" spans="1:10" x14ac:dyDescent="0.3">
      <c r="A239" s="2" t="str">
        <f>작업!E239</f>
        <v>확률과 통계</v>
      </c>
      <c r="B239" s="2" t="str">
        <f>작업!F239</f>
        <v>2. 확률</v>
      </c>
      <c r="C239" s="2" t="str">
        <f>작업!G239</f>
        <v>P. 조건부 확률</v>
      </c>
      <c r="D239" s="2" t="str">
        <f>작업!H239</f>
        <v>조건부 확률</v>
      </c>
      <c r="E239" s="2" t="str">
        <f>작업!C239&amp;"("&amp;VLOOKUP(작업!D239,작업!$N$2:$O$6,2,0)&amp;")"</f>
        <v>20251124(♥)</v>
      </c>
      <c r="F239" s="2" t="str">
        <f>작업!I239</f>
        <v>mun/20251124.png</v>
      </c>
      <c r="G239" s="2">
        <f>작업!J239</f>
        <v>3</v>
      </c>
      <c r="H239" s="2">
        <f>작업!D239</f>
        <v>1</v>
      </c>
      <c r="I239" s="2">
        <f>작업!K239</f>
        <v>1</v>
      </c>
      <c r="J239" s="2" t="str">
        <f>작업!L239</f>
        <v>https://ebsi.co.kr/ebs/lms/player/retrieveLmsPlayerHtml5Simple.ebs?medUrl=https://WSTR.ebsi.co.kr/M41M2401/S20240000737/S20240000737_1M4_100030059809.mp4&amp;strStartTm=273&amp;pType=2</v>
      </c>
    </row>
    <row r="240" spans="1:10" x14ac:dyDescent="0.3">
      <c r="A240" s="2" t="str">
        <f>작업!E240</f>
        <v>확률과 통계</v>
      </c>
      <c r="B240" s="2" t="str">
        <f>작업!F240</f>
        <v>3. 통계</v>
      </c>
      <c r="C240" s="2" t="str">
        <f>작업!G240</f>
        <v>Q. 확률분포</v>
      </c>
      <c r="D240" s="2" t="str">
        <f>작업!H240</f>
        <v>연속확률분포</v>
      </c>
      <c r="E240" s="2" t="str">
        <f>작업!C240&amp;"("&amp;VLOOKUP(작업!D240,작업!$N$2:$O$6,2,0)&amp;")"</f>
        <v>20221129(♥♥♥♥)</v>
      </c>
      <c r="F240" s="2" t="str">
        <f>작업!I240</f>
        <v>mun/20221129.png</v>
      </c>
      <c r="G240" s="2">
        <f>작업!J240</f>
        <v>31</v>
      </c>
      <c r="H240" s="2">
        <f>작업!D240</f>
        <v>4</v>
      </c>
      <c r="I240" s="2">
        <f>작업!K240</f>
        <v>1</v>
      </c>
      <c r="J240" s="2" t="str">
        <f>작업!L240</f>
        <v>https://ebsi.co.kr/ebs/lms/player/retrieveLmsPlayerHtml5Simple.ebs?medUrl=https://WSTR.ebsi.co.kr/M41M2101/S20210001189/S20210001189_1M4_100030011708.mp4&amp;strStartTm=2731&amp;pType=2</v>
      </c>
    </row>
    <row r="241" spans="1:10" x14ac:dyDescent="0.3">
      <c r="A241" s="2" t="str">
        <f>작업!E241</f>
        <v>확률과 통계</v>
      </c>
      <c r="B241" s="2" t="str">
        <f>작업!F241</f>
        <v>1. 경우의 수</v>
      </c>
      <c r="C241" s="2" t="str">
        <f>작업!G241</f>
        <v>M. 여러 가지 순열과 중복 조합</v>
      </c>
      <c r="D241" s="2" t="str">
        <f>작업!H241</f>
        <v>중복 조합</v>
      </c>
      <c r="E241" s="2" t="str">
        <f>작업!C241&amp;"("&amp;VLOOKUP(작업!D241,작업!$N$2:$O$6,2,0)&amp;")"</f>
        <v>20240930(♥♥♥♥♥)</v>
      </c>
      <c r="F241" s="2" t="str">
        <f>작업!I241</f>
        <v>mun/20240930.png</v>
      </c>
      <c r="G241" s="2">
        <f>작업!J241</f>
        <v>336</v>
      </c>
      <c r="H241" s="2">
        <f>작업!D241</f>
        <v>5</v>
      </c>
      <c r="I241" s="2">
        <f>작업!K241</f>
        <v>1</v>
      </c>
      <c r="J241" s="2" t="str">
        <f>작업!L241</f>
        <v>https://ebsi.co.kr/ebs/lms/player/retrieveLmsPlayerHtml5Simple.ebs?medUrl=https://WSTR.ebsi.co.kr/M41M2301/S20230000491/S20230000491_1M4_100030043587.mp4&amp;strStartTm=2704&amp;pType=2</v>
      </c>
    </row>
    <row r="242" spans="1:10" x14ac:dyDescent="0.3">
      <c r="A242" s="2" t="str">
        <f>작업!E242</f>
        <v>수학Ⅰ</v>
      </c>
      <c r="B242" s="2" t="str">
        <f>작업!F242</f>
        <v>1. 지수함수와 로그함수</v>
      </c>
      <c r="C242" s="2" t="str">
        <f>작업!G242</f>
        <v>A. 지수와 로그</v>
      </c>
      <c r="D242" s="2" t="str">
        <f>작업!H242</f>
        <v>지수의 연산</v>
      </c>
      <c r="E242" s="2" t="str">
        <f>작업!C242&amp;"("&amp;VLOOKUP(작업!D242,작업!$N$2:$O$6,2,0)&amp;")"</f>
        <v>20241101(♥)</v>
      </c>
      <c r="F242" s="2" t="str">
        <f>작업!I242</f>
        <v>mun/20241101.png</v>
      </c>
      <c r="G242" s="2">
        <f>작업!J242</f>
        <v>1</v>
      </c>
      <c r="H242" s="2">
        <f>작업!D242</f>
        <v>1</v>
      </c>
      <c r="I242" s="2">
        <f>작업!K242</f>
        <v>1</v>
      </c>
      <c r="J242" s="2" t="str">
        <f>작업!L242</f>
        <v>https://ebsi.co.kr/ebs/lms/player/retrieveLmsPlayerHtml5Simple.ebs?medUrl=https://WSTR.ebsi.co.kr/M41M2301/S20230000616/S20230000616_1M4_100030044874.mp4&amp;strStartTm=275&amp;pType=2</v>
      </c>
    </row>
    <row r="243" spans="1:10" x14ac:dyDescent="0.3">
      <c r="A243" s="2" t="str">
        <f>작업!E243</f>
        <v>수학Ⅱ</v>
      </c>
      <c r="B243" s="2" t="str">
        <f>작업!F243</f>
        <v>2. 미분</v>
      </c>
      <c r="C243" s="2" t="str">
        <f>작업!G243</f>
        <v>I. 도함수</v>
      </c>
      <c r="D243" s="2" t="str">
        <f>작업!H243</f>
        <v>미분계수와 도함수</v>
      </c>
      <c r="E243" s="2" t="str">
        <f>작업!C243&amp;"("&amp;VLOOKUP(작업!D243,작업!$N$2:$O$6,2,0)&amp;")"</f>
        <v>20241102(♥)</v>
      </c>
      <c r="F243" s="2" t="str">
        <f>작업!I243</f>
        <v>mun/20241102.png</v>
      </c>
      <c r="G243" s="2">
        <f>작업!J243</f>
        <v>4</v>
      </c>
      <c r="H243" s="2">
        <f>작업!D243</f>
        <v>1</v>
      </c>
      <c r="I243" s="2">
        <f>작업!K243</f>
        <v>1</v>
      </c>
      <c r="J243" s="2" t="str">
        <f>작업!L243</f>
        <v>https://ebsi.co.kr/ebs/lms/player/retrieveLmsPlayerHtml5Simple.ebs?medUrl=https://WSTR.ebsi.co.kr/M41M2301/S20230000616/S20230000616_1M4_100030044875.mp4&amp;strStartTm=213&amp;pType=2</v>
      </c>
    </row>
    <row r="244" spans="1:10" x14ac:dyDescent="0.3">
      <c r="A244" s="2" t="str">
        <f>작업!E244</f>
        <v>수학Ⅰ</v>
      </c>
      <c r="B244" s="2" t="str">
        <f>작업!F244</f>
        <v>2. 삼각함수</v>
      </c>
      <c r="C244" s="2" t="str">
        <f>작업!G244</f>
        <v>C. 삼각함수</v>
      </c>
      <c r="D244" s="2" t="str">
        <f>작업!H244</f>
        <v>삼각함수의 값</v>
      </c>
      <c r="E244" s="2" t="str">
        <f>작업!C244&amp;"("&amp;VLOOKUP(작업!D244,작업!$N$2:$O$6,2,0)&amp;")"</f>
        <v>20241103(♥)</v>
      </c>
      <c r="F244" s="2" t="str">
        <f>작업!I244</f>
        <v>mun/20241103.png</v>
      </c>
      <c r="G244" s="2">
        <f>작업!J244</f>
        <v>2</v>
      </c>
      <c r="H244" s="2">
        <f>작업!D244</f>
        <v>1</v>
      </c>
      <c r="I244" s="2">
        <f>작업!K244</f>
        <v>1</v>
      </c>
      <c r="J244" s="2" t="str">
        <f>작업!L244</f>
        <v>https://ebsi.co.kr/ebs/lms/player/retrieveLmsPlayerHtml5Simple.ebs?medUrl=https://WSTR.ebsi.co.kr/M41M2301/S20230000616/S20230000616_1M4_100030044874.mp4&amp;strStartTm=346&amp;pType=2</v>
      </c>
    </row>
    <row r="245" spans="1:10" x14ac:dyDescent="0.3">
      <c r="A245" s="2" t="str">
        <f>작업!E245</f>
        <v>수학Ⅱ</v>
      </c>
      <c r="B245" s="2" t="str">
        <f>작업!F245</f>
        <v>1. 함수의 극한과 연속</v>
      </c>
      <c r="C245" s="2" t="str">
        <f>작업!G245</f>
        <v>H. 함수의 연속</v>
      </c>
      <c r="D245" s="2" t="str">
        <f>작업!H245</f>
        <v>함수의 연속</v>
      </c>
      <c r="E245" s="2" t="str">
        <f>작업!C245&amp;"("&amp;VLOOKUP(작업!D245,작업!$N$2:$O$6,2,0)&amp;")"</f>
        <v>20241104(♥♥)</v>
      </c>
      <c r="F245" s="2" t="str">
        <f>작업!I245</f>
        <v>mun/20241104.png</v>
      </c>
      <c r="G245" s="2">
        <f>작업!J245</f>
        <v>1</v>
      </c>
      <c r="H245" s="2">
        <f>작업!D245</f>
        <v>2</v>
      </c>
      <c r="I245" s="2">
        <f>작업!K245</f>
        <v>1</v>
      </c>
      <c r="J245" s="2" t="str">
        <f>작업!L245</f>
        <v>https://ebsi.co.kr/ebs/lms/player/retrieveLmsPlayerHtml5Simple.ebs?medUrl=https://WSTR.ebsi.co.kr/M41M2301/S20230000616/S20230000616_1M4_100030044875.mp4&amp;strStartTm=262&amp;pType=2</v>
      </c>
    </row>
    <row r="246" spans="1:10" x14ac:dyDescent="0.3">
      <c r="A246" s="2" t="str">
        <f>작업!E246</f>
        <v>수학Ⅱ</v>
      </c>
      <c r="B246" s="2" t="str">
        <f>작업!F246</f>
        <v>3. 적분</v>
      </c>
      <c r="C246" s="2" t="str">
        <f>작업!G246</f>
        <v>K. 부정적분</v>
      </c>
      <c r="D246" s="2" t="str">
        <f>작업!H246</f>
        <v>부정적분</v>
      </c>
      <c r="E246" s="2" t="str">
        <f>작업!C246&amp;"("&amp;VLOOKUP(작업!D246,작업!$N$2:$O$6,2,0)&amp;")"</f>
        <v>20241105(♥♥)</v>
      </c>
      <c r="F246" s="2" t="str">
        <f>작업!I246</f>
        <v>mun/20241105.png</v>
      </c>
      <c r="G246" s="2">
        <f>작업!J246</f>
        <v>4</v>
      </c>
      <c r="H246" s="2">
        <f>작업!D246</f>
        <v>2</v>
      </c>
      <c r="I246" s="2">
        <f>작업!K246</f>
        <v>1</v>
      </c>
      <c r="J246" s="2" t="str">
        <f>작업!L246</f>
        <v>https://ebsi.co.kr/ebs/lms/player/retrieveLmsPlayerHtml5Simple.ebs?medUrl=https://WSTR.ebsi.co.kr/M41M2301/S20230000616/S20230000616_1M4_100030044875.mp4&amp;strStartTm=317&amp;pType=2</v>
      </c>
    </row>
    <row r="247" spans="1:10" x14ac:dyDescent="0.3">
      <c r="A247" s="2" t="str">
        <f>작업!E247</f>
        <v>수학Ⅰ</v>
      </c>
      <c r="B247" s="2" t="str">
        <f>작업!F247</f>
        <v>3. 수열</v>
      </c>
      <c r="C247" s="2" t="str">
        <f>작업!G247</f>
        <v>D. 등차수열과 등비수열</v>
      </c>
      <c r="D247" s="2" t="str">
        <f>작업!H247</f>
        <v>등비수열</v>
      </c>
      <c r="E247" s="2" t="str">
        <f>작업!C247&amp;"("&amp;VLOOKUP(작업!D247,작업!$N$2:$O$6,2,0)&amp;")"</f>
        <v>20241106(♥♥)</v>
      </c>
      <c r="F247" s="2" t="str">
        <f>작업!I247</f>
        <v>mun/20241106.png</v>
      </c>
      <c r="G247" s="2">
        <f>작업!J247</f>
        <v>4</v>
      </c>
      <c r="H247" s="2">
        <f>작업!D247</f>
        <v>2</v>
      </c>
      <c r="I247" s="2">
        <f>작업!K247</f>
        <v>1</v>
      </c>
      <c r="J247" s="2" t="str">
        <f>작업!L247</f>
        <v>https://ebsi.co.kr/ebs/lms/player/retrieveLmsPlayerHtml5Simple.ebs?medUrl=https://WSTR.ebsi.co.kr/M41M2301/S20230000616/S20230000616_1M4_100030044874.mp4&amp;strStartTm=629&amp;pType=2</v>
      </c>
    </row>
    <row r="248" spans="1:10" x14ac:dyDescent="0.3">
      <c r="A248" s="2" t="str">
        <f>작업!E248</f>
        <v>수학Ⅱ</v>
      </c>
      <c r="B248" s="2" t="str">
        <f>작업!F248</f>
        <v>2. 미분</v>
      </c>
      <c r="C248" s="2" t="str">
        <f>작업!G248</f>
        <v>J. 도함수의 활용</v>
      </c>
      <c r="D248" s="2" t="str">
        <f>작업!H248</f>
        <v>극대와 극소</v>
      </c>
      <c r="E248" s="2" t="str">
        <f>작업!C248&amp;"("&amp;VLOOKUP(작업!D248,작업!$N$2:$O$6,2,0)&amp;")"</f>
        <v>20241107(♥♥)</v>
      </c>
      <c r="F248" s="2" t="str">
        <f>작업!I248</f>
        <v>mun/20241107.png</v>
      </c>
      <c r="G248" s="2">
        <f>작업!J248</f>
        <v>5</v>
      </c>
      <c r="H248" s="2">
        <f>작업!D248</f>
        <v>2</v>
      </c>
      <c r="I248" s="2">
        <f>작업!K248</f>
        <v>1</v>
      </c>
      <c r="J248" s="2" t="str">
        <f>작업!L248</f>
        <v>https://ebsi.co.kr/ebs/lms/player/retrieveLmsPlayerHtml5Simple.ebs?medUrl=https://WSTR.ebsi.co.kr/M41M2301/S20230000616/S20230000616_1M4_100030044875.mp4&amp;strStartTm=390&amp;pType=2</v>
      </c>
    </row>
    <row r="249" spans="1:10" x14ac:dyDescent="0.3">
      <c r="A249" s="2" t="str">
        <f>작업!E249</f>
        <v>수학Ⅱ</v>
      </c>
      <c r="B249" s="2" t="str">
        <f>작업!F249</f>
        <v>3. 적분</v>
      </c>
      <c r="C249" s="2" t="str">
        <f>작업!G249</f>
        <v>L. 정적분</v>
      </c>
      <c r="D249" s="2" t="str">
        <f>작업!H249</f>
        <v>정적분</v>
      </c>
      <c r="E249" s="2" t="str">
        <f>작업!C249&amp;"("&amp;VLOOKUP(작업!D249,작업!$N$2:$O$6,2,0)&amp;")"</f>
        <v>20241108(♥♥)</v>
      </c>
      <c r="F249" s="2" t="str">
        <f>작업!I249</f>
        <v>mun/20241108.png</v>
      </c>
      <c r="G249" s="2">
        <f>작업!J249</f>
        <v>2</v>
      </c>
      <c r="H249" s="2">
        <f>작업!D249</f>
        <v>2</v>
      </c>
      <c r="I249" s="2">
        <f>작업!K249</f>
        <v>1</v>
      </c>
      <c r="J249" s="2" t="str">
        <f>작업!L249</f>
        <v>https://ebsi.co.kr/ebs/lms/player/retrieveLmsPlayerHtml5Simple.ebs?medUrl=https://WSTR.ebsi.co.kr/M41M2301/S20230000616/S20230000616_1M4_100030044875.mp4&amp;strStartTm=478&amp;pType=2</v>
      </c>
    </row>
    <row r="250" spans="1:10" x14ac:dyDescent="0.3">
      <c r="A250" s="2" t="str">
        <f>작업!E250</f>
        <v>수학Ⅰ</v>
      </c>
      <c r="B250" s="2" t="str">
        <f>작업!F250</f>
        <v>1. 지수함수와 로그함수</v>
      </c>
      <c r="C250" s="2" t="str">
        <f>작업!G250</f>
        <v>A. 지수와 로그</v>
      </c>
      <c r="D250" s="2" t="str">
        <f>작업!H250</f>
        <v>로그의 연산</v>
      </c>
      <c r="E250" s="2" t="str">
        <f>작업!C250&amp;"("&amp;VLOOKUP(작업!D250,작업!$N$2:$O$6,2,0)&amp;")"</f>
        <v>20241109(♥♥♥)</v>
      </c>
      <c r="F250" s="2" t="str">
        <f>작업!I250</f>
        <v>mun/20241109.png</v>
      </c>
      <c r="G250" s="2">
        <f>작업!J250</f>
        <v>4</v>
      </c>
      <c r="H250" s="2">
        <f>작업!D250</f>
        <v>3</v>
      </c>
      <c r="I250" s="2">
        <f>작업!K250</f>
        <v>1</v>
      </c>
      <c r="J250" s="2" t="str">
        <f>작업!L250</f>
        <v>https://ebsi.co.kr/ebs/lms/player/retrieveLmsPlayerHtml5Simple.ebs?medUrl=https://WSTR.ebsi.co.kr/M41M2301/S20230000616/S20230000616_1M4_100030044874.mp4&amp;strStartTm=897&amp;pType=2</v>
      </c>
    </row>
    <row r="251" spans="1:10" x14ac:dyDescent="0.3">
      <c r="A251" s="2" t="str">
        <f>작업!E251</f>
        <v>수학Ⅱ</v>
      </c>
      <c r="B251" s="2" t="str">
        <f>작업!F251</f>
        <v>3. 적분</v>
      </c>
      <c r="C251" s="2" t="str">
        <f>작업!G251</f>
        <v>L. 정적분</v>
      </c>
      <c r="D251" s="2" t="str">
        <f>작업!H251</f>
        <v>속도와 거리</v>
      </c>
      <c r="E251" s="2" t="str">
        <f>작업!C251&amp;"("&amp;VLOOKUP(작업!D251,작업!$N$2:$O$6,2,0)&amp;")"</f>
        <v>20241110(♥♥♥)</v>
      </c>
      <c r="F251" s="2" t="str">
        <f>작업!I251</f>
        <v>mun/20241110.png</v>
      </c>
      <c r="G251" s="2">
        <f>작업!J251</f>
        <v>2</v>
      </c>
      <c r="H251" s="2">
        <f>작업!D251</f>
        <v>3</v>
      </c>
      <c r="I251" s="2">
        <f>작업!K251</f>
        <v>1</v>
      </c>
      <c r="J251" s="2" t="str">
        <f>작업!L251</f>
        <v>https://ebsi.co.kr/ebs/lms/player/retrieveLmsPlayerHtml5Simple.ebs?medUrl=https://WSTR.ebsi.co.kr/M41M2301/S20230000616/S20230000616_1M4_100030044875.mp4&amp;strStartTm=791&amp;pType=2</v>
      </c>
    </row>
    <row r="252" spans="1:10" x14ac:dyDescent="0.3">
      <c r="A252" s="2" t="str">
        <f>작업!E252</f>
        <v>수학Ⅰ</v>
      </c>
      <c r="B252" s="2" t="str">
        <f>작업!F252</f>
        <v>3. 수열</v>
      </c>
      <c r="C252" s="2" t="str">
        <f>작업!G252</f>
        <v>E. 수열의 합</v>
      </c>
      <c r="D252" s="2" t="str">
        <f>작업!H252</f>
        <v>여러 가지 수열의 합</v>
      </c>
      <c r="E252" s="2" t="str">
        <f>작업!C252&amp;"("&amp;VLOOKUP(작업!D252,작업!$N$2:$O$6,2,0)&amp;")"</f>
        <v>20241111(♥♥♥)</v>
      </c>
      <c r="F252" s="2" t="str">
        <f>작업!I252</f>
        <v>mun/20241111.png</v>
      </c>
      <c r="G252" s="2">
        <f>작업!J252</f>
        <v>1</v>
      </c>
      <c r="H252" s="2">
        <f>작업!D252</f>
        <v>3</v>
      </c>
      <c r="I252" s="2">
        <f>작업!K252</f>
        <v>1</v>
      </c>
      <c r="J252" s="2" t="str">
        <f>작업!L252</f>
        <v>https://ebsi.co.kr/ebs/lms/player/retrieveLmsPlayerHtml5Simple.ebs?medUrl=https://WSTR.ebsi.co.kr/M41M2301/S20230000616/S20230000616_1M4_100030044874.mp4&amp;strStartTm=1186&amp;pType=2</v>
      </c>
    </row>
    <row r="253" spans="1:10" x14ac:dyDescent="0.3">
      <c r="A253" s="2" t="str">
        <f>작업!E253</f>
        <v>수학Ⅱ</v>
      </c>
      <c r="B253" s="2" t="str">
        <f>작업!F253</f>
        <v>2. 미분</v>
      </c>
      <c r="C253" s="2" t="str">
        <f>작업!G253</f>
        <v>J. 도함수의 활용</v>
      </c>
      <c r="D253" s="2" t="str">
        <f>작업!H253</f>
        <v>접선의 방정식</v>
      </c>
      <c r="E253" s="2" t="str">
        <f>작업!C253&amp;"("&amp;VLOOKUP(작업!D253,작업!$N$2:$O$6,2,0)&amp;")"</f>
        <v>20241112(♥♥♥♥)</v>
      </c>
      <c r="F253" s="2" t="str">
        <f>작업!I253</f>
        <v>mun/20241112.png</v>
      </c>
      <c r="G253" s="2">
        <f>작업!J253</f>
        <v>3</v>
      </c>
      <c r="H253" s="2">
        <f>작업!D253</f>
        <v>4</v>
      </c>
      <c r="I253" s="2">
        <f>작업!K253</f>
        <v>1</v>
      </c>
      <c r="J253" s="2" t="str">
        <f>작업!L253</f>
        <v>https://ebsi.co.kr/ebs/lms/player/retrieveLmsPlayerHtml5Simple.ebs?medUrl=https://WSTR.ebsi.co.kr/M41M2301/S20230000616/S20230000616_1M4_100030044875.mp4&amp;strStartTm=1304&amp;pType=2</v>
      </c>
    </row>
    <row r="254" spans="1:10" x14ac:dyDescent="0.3">
      <c r="A254" s="2" t="str">
        <f>작업!E254</f>
        <v>수학Ⅰ</v>
      </c>
      <c r="B254" s="2" t="str">
        <f>작업!F254</f>
        <v>2. 삼각함수</v>
      </c>
      <c r="C254" s="2" t="str">
        <f>작업!G254</f>
        <v>C. 삼각함수</v>
      </c>
      <c r="D254" s="2" t="str">
        <f>작업!H254</f>
        <v>사인법칙과 코사인법칙</v>
      </c>
      <c r="E254" s="2" t="str">
        <f>작업!C254&amp;"("&amp;VLOOKUP(작업!D254,작업!$N$2:$O$6,2,0)&amp;")"</f>
        <v>20241113(♥♥♥♥)</v>
      </c>
      <c r="F254" s="2" t="str">
        <f>작업!I254</f>
        <v>mun/20241113.png</v>
      </c>
      <c r="G254" s="2">
        <f>작업!J254</f>
        <v>1</v>
      </c>
      <c r="H254" s="2">
        <f>작업!D254</f>
        <v>4</v>
      </c>
      <c r="I254" s="2">
        <f>작업!K254</f>
        <v>1</v>
      </c>
      <c r="J254" s="2" t="str">
        <f>작업!L254</f>
        <v>https://ebsi.co.kr/ebs/lms/player/retrieveLmsPlayerHtml5Simple.ebs?medUrl=https://WSTR.ebsi.co.kr/M41M2301/S20230000616/S20230000616_1M4_100030044874.mp4&amp;strStartTm=1816&amp;pType=2</v>
      </c>
    </row>
    <row r="255" spans="1:10" x14ac:dyDescent="0.3">
      <c r="A255" s="2" t="str">
        <f>작업!E255</f>
        <v>수학Ⅱ</v>
      </c>
      <c r="B255" s="2" t="str">
        <f>작업!F255</f>
        <v>2. 미분</v>
      </c>
      <c r="C255" s="2" t="str">
        <f>작업!G255</f>
        <v>J. 도함수의 활용</v>
      </c>
      <c r="D255" s="2" t="str">
        <f>작업!H255</f>
        <v>함수의 추론</v>
      </c>
      <c r="E255" s="2" t="str">
        <f>작업!C255&amp;"("&amp;VLOOKUP(작업!D255,작업!$N$2:$O$6,2,0)&amp;")"</f>
        <v>20241114(♥♥♥♥)</v>
      </c>
      <c r="F255" s="2" t="str">
        <f>작업!I255</f>
        <v>mun/20241114.png</v>
      </c>
      <c r="G255" s="2">
        <f>작업!J255</f>
        <v>1</v>
      </c>
      <c r="H255" s="2">
        <f>작업!D255</f>
        <v>4</v>
      </c>
      <c r="I255" s="2">
        <f>작업!K255</f>
        <v>1</v>
      </c>
      <c r="J255" s="2" t="str">
        <f>작업!L255</f>
        <v>https://ebsi.co.kr/ebs/lms/player/retrieveLmsPlayerHtml5Simple.ebs?medUrl=https://WSTR.ebsi.co.kr/M41M2301/S20230000616/S20230000616_1M4_100030044875.mp4&amp;strStartTm=1827&amp;pType=2</v>
      </c>
    </row>
    <row r="256" spans="1:10" x14ac:dyDescent="0.3">
      <c r="A256" s="2" t="str">
        <f>작업!E256</f>
        <v>수학Ⅰ</v>
      </c>
      <c r="B256" s="2" t="str">
        <f>작업!F256</f>
        <v>3. 수열</v>
      </c>
      <c r="C256" s="2" t="str">
        <f>작업!G256</f>
        <v>F. 수학적 귀납법</v>
      </c>
      <c r="D256" s="2" t="str">
        <f>작업!H256</f>
        <v>수열의 귀납적 정의</v>
      </c>
      <c r="E256" s="2" t="str">
        <f>작업!C256&amp;"("&amp;VLOOKUP(작업!D256,작업!$N$2:$O$6,2,0)&amp;")"</f>
        <v>20241115(♥♥♥♥♥)</v>
      </c>
      <c r="F256" s="2" t="str">
        <f>작업!I256</f>
        <v>mun/20241115.png</v>
      </c>
      <c r="G256" s="2">
        <f>작업!J256</f>
        <v>3</v>
      </c>
      <c r="H256" s="2">
        <f>작업!D256</f>
        <v>5</v>
      </c>
      <c r="I256" s="2">
        <f>작업!K256</f>
        <v>1</v>
      </c>
      <c r="J256" s="2" t="str">
        <f>작업!L256</f>
        <v>https://ebsi.co.kr/ebs/lms/player/retrieveLmsPlayerHtml5Simple.ebs?medUrl=https://WSTR.ebsi.co.kr/M41M2301/S20230000616/S20230000616_1M4_100030044874.mp4&amp;strStartTm=2331&amp;pType=2</v>
      </c>
    </row>
    <row r="257" spans="1:10" x14ac:dyDescent="0.3">
      <c r="A257" s="2" t="str">
        <f>작업!E257</f>
        <v>수학Ⅰ</v>
      </c>
      <c r="B257" s="2" t="str">
        <f>작업!F257</f>
        <v>1. 지수함수와 로그함수</v>
      </c>
      <c r="C257" s="2" t="str">
        <f>작업!G257</f>
        <v>B. 지수함수와 로그함수</v>
      </c>
      <c r="D257" s="2" t="str">
        <f>작업!H257</f>
        <v>방정식과 부등식에의 활용</v>
      </c>
      <c r="E257" s="2" t="str">
        <f>작업!C257&amp;"("&amp;VLOOKUP(작업!D257,작업!$N$2:$O$6,2,0)&amp;")"</f>
        <v>20241116(♥)</v>
      </c>
      <c r="F257" s="2" t="str">
        <f>작업!I257</f>
        <v>mun/20241116.png</v>
      </c>
      <c r="G257" s="2">
        <f>작업!J257</f>
        <v>2</v>
      </c>
      <c r="H257" s="2">
        <f>작업!D257</f>
        <v>1</v>
      </c>
      <c r="I257" s="2">
        <f>작업!K257</f>
        <v>1</v>
      </c>
      <c r="J257" s="2" t="str">
        <f>작업!L257</f>
        <v>https://ebsi.co.kr/ebs/lms/player/retrieveLmsPlayerHtml5Simple.ebs?medUrl=https://WSTR.ebsi.co.kr/M41M2301/S20230000616/S20230000616_1M4_100030044874.mp4&amp;strStartTm=3001&amp;pType=2</v>
      </c>
    </row>
    <row r="258" spans="1:10" x14ac:dyDescent="0.3">
      <c r="A258" s="2" t="str">
        <f>작업!E258</f>
        <v>수학Ⅱ</v>
      </c>
      <c r="B258" s="2" t="str">
        <f>작업!F258</f>
        <v>2. 미분</v>
      </c>
      <c r="C258" s="2" t="str">
        <f>작업!G258</f>
        <v>I. 도함수</v>
      </c>
      <c r="D258" s="2" t="str">
        <f>작업!H258</f>
        <v>곱함수의 미분법</v>
      </c>
      <c r="E258" s="2" t="str">
        <f>작업!C258&amp;"("&amp;VLOOKUP(작업!D258,작업!$N$2:$O$6,2,0)&amp;")"</f>
        <v>20241117(♥)</v>
      </c>
      <c r="F258" s="2" t="str">
        <f>작업!I258</f>
        <v>mun/20241117.png</v>
      </c>
      <c r="G258" s="2">
        <f>작업!J258</f>
        <v>8</v>
      </c>
      <c r="H258" s="2">
        <f>작업!D258</f>
        <v>1</v>
      </c>
      <c r="I258" s="2">
        <f>작업!K258</f>
        <v>1</v>
      </c>
      <c r="J258" s="2" t="str">
        <f>작업!L258</f>
        <v>https://ebsi.co.kr/ebs/lms/player/retrieveLmsPlayerHtml5Simple.ebs?medUrl=https://WSTR.ebsi.co.kr/M41M2301/S20230000616/S20230000616_1M4_100030044875.mp4&amp;strStartTm=2842&amp;pType=2</v>
      </c>
    </row>
    <row r="259" spans="1:10" x14ac:dyDescent="0.3">
      <c r="A259" s="2" t="str">
        <f>작업!E259</f>
        <v>수학Ⅰ</v>
      </c>
      <c r="B259" s="2" t="str">
        <f>작업!F259</f>
        <v>3. 수열</v>
      </c>
      <c r="C259" s="2" t="str">
        <f>작업!G259</f>
        <v>E. 수열의 합</v>
      </c>
      <c r="D259" s="2" t="str">
        <f>작업!H259</f>
        <v>시그마의 뜻과 성질</v>
      </c>
      <c r="E259" s="2" t="str">
        <f>작업!C259&amp;"("&amp;VLOOKUP(작업!D259,작업!$N$2:$O$6,2,0)&amp;")"</f>
        <v>20241118(♥♥♥)</v>
      </c>
      <c r="F259" s="2" t="str">
        <f>작업!I259</f>
        <v>mun/20241118.png</v>
      </c>
      <c r="G259" s="2">
        <f>작업!J259</f>
        <v>9</v>
      </c>
      <c r="H259" s="2">
        <f>작업!D259</f>
        <v>3</v>
      </c>
      <c r="I259" s="2">
        <f>작업!K259</f>
        <v>1</v>
      </c>
      <c r="J259" s="2" t="str">
        <f>작업!L259</f>
        <v>https://ebsi.co.kr/ebs/lms/player/retrieveLmsPlayerHtml5Simple.ebs?medUrl=https://WSTR.ebsi.co.kr/M41M2301/S20230000616/S20230000616_1M4_100030044874.mp4&amp;strStartTm=3034&amp;pType=2</v>
      </c>
    </row>
    <row r="260" spans="1:10" x14ac:dyDescent="0.3">
      <c r="A260" s="2" t="str">
        <f>작업!E260</f>
        <v>수학Ⅰ</v>
      </c>
      <c r="B260" s="2" t="str">
        <f>작업!F260</f>
        <v>2. 삼각함수</v>
      </c>
      <c r="C260" s="2" t="str">
        <f>작업!G260</f>
        <v>C. 삼각함수</v>
      </c>
      <c r="D260" s="2" t="str">
        <f>작업!H260</f>
        <v>방정식과 부등식에의 활용</v>
      </c>
      <c r="E260" s="2" t="str">
        <f>작업!C260&amp;"("&amp;VLOOKUP(작업!D260,작업!$N$2:$O$6,2,0)&amp;")"</f>
        <v>20241119(♥♥♥)</v>
      </c>
      <c r="F260" s="2" t="str">
        <f>작업!I260</f>
        <v>mun/20241119.png</v>
      </c>
      <c r="G260" s="2">
        <f>작업!J260</f>
        <v>32</v>
      </c>
      <c r="H260" s="2">
        <f>작업!D260</f>
        <v>3</v>
      </c>
      <c r="I260" s="2">
        <f>작업!K260</f>
        <v>1</v>
      </c>
      <c r="J260" s="2" t="str">
        <f>작업!L260</f>
        <v>https://ebsi.co.kr/ebs/lms/player/retrieveLmsPlayerHtml5Simple.ebs?medUrl=https://WSTR.ebsi.co.kr/M41M2301/S20230000616/S20230000616_1M4_100030044874.mp4&amp;strStartTm=3171&amp;pType=2</v>
      </c>
    </row>
    <row r="261" spans="1:10" x14ac:dyDescent="0.3">
      <c r="A261" s="2" t="str">
        <f>작업!E261</f>
        <v>수학Ⅱ</v>
      </c>
      <c r="B261" s="2" t="str">
        <f>작업!F261</f>
        <v>2. 미분</v>
      </c>
      <c r="C261" s="2" t="str">
        <f>작업!G261</f>
        <v>J. 도함수의 활용</v>
      </c>
      <c r="D261" s="2" t="str">
        <f>작업!H261</f>
        <v>접선의 방정식</v>
      </c>
      <c r="E261" s="2" t="str">
        <f>작업!C261&amp;"("&amp;VLOOKUP(작업!D261,작업!$N$2:$O$6,2,0)&amp;")"</f>
        <v>20241120(♥♥♥♥)</v>
      </c>
      <c r="F261" s="2" t="str">
        <f>작업!I261</f>
        <v>mun/20241120.png</v>
      </c>
      <c r="G261" s="2">
        <f>작업!J261</f>
        <v>25</v>
      </c>
      <c r="H261" s="2">
        <f>작업!D261</f>
        <v>4</v>
      </c>
      <c r="I261" s="2">
        <f>작업!K261</f>
        <v>1</v>
      </c>
      <c r="J261" s="2" t="str">
        <f>작업!L261</f>
        <v>https://ebsi.co.kr/ebs/lms/player/retrieveLmsPlayerHtml5Simple.ebs?medUrl=https://WSTR.ebsi.co.kr/M41M2301/S20230000616/S20230000616_1M4_100030044875.mp4&amp;strStartTm=2884&amp;pType=2</v>
      </c>
    </row>
    <row r="262" spans="1:10" x14ac:dyDescent="0.3">
      <c r="A262" s="2" t="str">
        <f>작업!E262</f>
        <v>수학Ⅰ</v>
      </c>
      <c r="B262" s="2" t="str">
        <f>작업!F262</f>
        <v>1. 지수함수와 로그함수</v>
      </c>
      <c r="C262" s="2" t="str">
        <f>작업!G262</f>
        <v>B. 지수함수와 로그함수</v>
      </c>
      <c r="D262" s="2" t="str">
        <f>작업!H262</f>
        <v>제한된 범위에서 최대 또는 최소</v>
      </c>
      <c r="E262" s="2" t="str">
        <f>작업!C262&amp;"("&amp;VLOOKUP(작업!D262,작업!$N$2:$O$6,2,0)&amp;")"</f>
        <v>20241121(♥♥♥♥)</v>
      </c>
      <c r="F262" s="2" t="str">
        <f>작업!I262</f>
        <v>mun/20241121.png</v>
      </c>
      <c r="G262" s="2">
        <f>작업!J262</f>
        <v>10</v>
      </c>
      <c r="H262" s="2">
        <f>작업!D262</f>
        <v>4</v>
      </c>
      <c r="I262" s="2">
        <f>작업!K262</f>
        <v>1</v>
      </c>
      <c r="J262" s="2" t="str">
        <f>작업!L262</f>
        <v>https://ebsi.co.kr/ebs/lms/player/retrieveLmsPlayerHtml5Simple.ebs?medUrl=https://WSTR.ebsi.co.kr/M41M2301/S20230000616/S20230000616_1M4_100030044874.mp4&amp;strStartTm=3565&amp;pType=2</v>
      </c>
    </row>
    <row r="263" spans="1:10" x14ac:dyDescent="0.3">
      <c r="A263" s="2" t="str">
        <f>작업!E263</f>
        <v>수학Ⅱ</v>
      </c>
      <c r="B263" s="2" t="str">
        <f>작업!F263</f>
        <v>2. 미분</v>
      </c>
      <c r="C263" s="2" t="str">
        <f>작업!G263</f>
        <v>J. 도함수의 활용</v>
      </c>
      <c r="D263" s="2" t="str">
        <f>작업!H263</f>
        <v>함수의 추론</v>
      </c>
      <c r="E263" s="2" t="str">
        <f>작업!C263&amp;"("&amp;VLOOKUP(작업!D263,작업!$N$2:$O$6,2,0)&amp;")"</f>
        <v>20241122(♥♥♥♥♥)</v>
      </c>
      <c r="F263" s="2" t="str">
        <f>작업!I263</f>
        <v>mun/20241122.png</v>
      </c>
      <c r="G263" s="2">
        <f>작업!J263</f>
        <v>483</v>
      </c>
      <c r="H263" s="2">
        <f>작업!D263</f>
        <v>5</v>
      </c>
      <c r="I263" s="2">
        <f>작업!K263</f>
        <v>1</v>
      </c>
      <c r="J263" s="2" t="str">
        <f>작업!L263</f>
        <v>https://ebsi.co.kr/ebs/lms/player/retrieveLmsPlayerHtml5Simple.ebs?medUrl=https://WSTR.ebsi.co.kr/M41M2301/S20230000616/S20230000616_1M4_100030044875.mp4&amp;strStartTm=3307&amp;pType=2</v>
      </c>
    </row>
    <row r="264" spans="1:10" x14ac:dyDescent="0.3">
      <c r="A264" s="2" t="str">
        <f>작업!E264</f>
        <v>확률과 통계</v>
      </c>
      <c r="B264" s="2" t="str">
        <f>작업!F264</f>
        <v>1. 경우의 수</v>
      </c>
      <c r="C264" s="2" t="str">
        <f>작업!G264</f>
        <v>M. 여러 가지 순열과 중복 조합</v>
      </c>
      <c r="D264" s="2" t="str">
        <f>작업!H264</f>
        <v>같은 것이 있는 순열</v>
      </c>
      <c r="E264" s="2" t="str">
        <f>작업!C264&amp;"("&amp;VLOOKUP(작업!D264,작업!$N$2:$O$6,2,0)&amp;")"</f>
        <v>20241123(♥)</v>
      </c>
      <c r="F264" s="2" t="str">
        <f>작업!I264</f>
        <v>mun/20241123.png</v>
      </c>
      <c r="G264" s="2">
        <f>작업!J264</f>
        <v>3</v>
      </c>
      <c r="H264" s="2">
        <f>작업!D264</f>
        <v>1</v>
      </c>
      <c r="I264" s="2">
        <f>작업!K264</f>
        <v>1</v>
      </c>
      <c r="J264" s="2" t="str">
        <f>작업!L264</f>
        <v>https://ebsi.co.kr/ebs/lms/player/retrieveLmsPlayerHtml5Simple.ebs?medUrl=https://WSTR.ebsi.co.kr/M41M2301/S20230000616/S20230000616_1M4_100030044876.mp4&amp;strStartTm=141&amp;pType=2</v>
      </c>
    </row>
    <row r="265" spans="1:10" x14ac:dyDescent="0.3">
      <c r="A265" s="2" t="str">
        <f>작업!E265</f>
        <v>확률과 통계</v>
      </c>
      <c r="B265" s="2" t="str">
        <f>작업!F265</f>
        <v>3. 통계</v>
      </c>
      <c r="C265" s="2" t="str">
        <f>작업!G265</f>
        <v>Q. 확률분포</v>
      </c>
      <c r="D265" s="2" t="str">
        <f>작업!H265</f>
        <v>연속확률분포</v>
      </c>
      <c r="E265" s="2" t="str">
        <f>작업!C265&amp;"("&amp;VLOOKUP(작업!D265,작업!$N$2:$O$6,2,0)&amp;")"</f>
        <v>20231128(♥♥♥♥)</v>
      </c>
      <c r="F265" s="2" t="str">
        <f>작업!I265</f>
        <v>mun/20231128.png</v>
      </c>
      <c r="G265" s="2">
        <f>작업!J265</f>
        <v>4</v>
      </c>
      <c r="H265" s="2">
        <f>작업!D265</f>
        <v>4</v>
      </c>
      <c r="I265" s="2">
        <f>작업!K265</f>
        <v>1</v>
      </c>
      <c r="J265" s="2" t="str">
        <f>작업!L265</f>
        <v>https://ebsi.co.kr/ebs/lms/player/retrieveLmsPlayerHtml5Simple.ebs?medUrl=https://WSTR.ebsi.co.kr/M41M2201/S20220000620/S20220000620_1M4_100030028822.mp4&amp;strStartTm=1598&amp;pType=2</v>
      </c>
    </row>
    <row r="266" spans="1:10" x14ac:dyDescent="0.3">
      <c r="A266" s="2" t="str">
        <f>작업!E266</f>
        <v>확률과 통계</v>
      </c>
      <c r="B266" s="2" t="str">
        <f>작업!F266</f>
        <v>3. 통계</v>
      </c>
      <c r="C266" s="2" t="str">
        <f>작업!G266</f>
        <v>Q. 확률분포</v>
      </c>
      <c r="D266" s="2" t="str">
        <f>작업!H266</f>
        <v>이산확률분포</v>
      </c>
      <c r="E266" s="2" t="str">
        <f>작업!C266&amp;"("&amp;VLOOKUP(작업!D266,작업!$N$2:$O$6,2,0)&amp;")"</f>
        <v>20220929(♥♥♥♥)</v>
      </c>
      <c r="F266" s="2" t="str">
        <f>작업!I266</f>
        <v>mun/20220929.png</v>
      </c>
      <c r="G266" s="2">
        <f>작업!J266</f>
        <v>78</v>
      </c>
      <c r="H266" s="2">
        <f>작업!D266</f>
        <v>4</v>
      </c>
      <c r="I266" s="2">
        <f>작업!K266</f>
        <v>1</v>
      </c>
      <c r="J266" s="2" t="str">
        <f>작업!L266</f>
        <v>https://ebsi.co.kr/ebs/lms/player/retrieveLmsPlayerHtml5Simple.ebs?medUrl=https://WSTR.ebsi.co.kr/M41M2101/S20210001003/S20210001003_1M4_100030008433.mp4&amp;strStartTm=2320&amp;pType=2</v>
      </c>
    </row>
    <row r="267" spans="1:10" x14ac:dyDescent="0.3">
      <c r="A267" s="2" t="str">
        <f>작업!E267</f>
        <v>확률과 통계</v>
      </c>
      <c r="B267" s="2" t="str">
        <f>작업!F267</f>
        <v>3. 통계</v>
      </c>
      <c r="C267" s="2" t="str">
        <f>작업!G267</f>
        <v>Q. 확률분포</v>
      </c>
      <c r="D267" s="2" t="str">
        <f>작업!H267</f>
        <v>이산확률분포</v>
      </c>
      <c r="E267" s="2" t="str">
        <f>작업!C267&amp;"("&amp;VLOOKUP(작업!D267,작업!$N$2:$O$6,2,0)&amp;")"</f>
        <v>20230927(♥♥♥)</v>
      </c>
      <c r="F267" s="2" t="str">
        <f>작업!I267</f>
        <v>mun/20230927.png</v>
      </c>
      <c r="G267" s="2">
        <f>작업!J267</f>
        <v>5</v>
      </c>
      <c r="H267" s="2">
        <f>작업!D267</f>
        <v>3</v>
      </c>
      <c r="I267" s="2">
        <f>작업!K267</f>
        <v>1</v>
      </c>
      <c r="J267" s="2" t="str">
        <f>작업!L267</f>
        <v>https://ebsi.co.kr/ebs/lms/player/retrieveLmsPlayerHtml5Simple.ebs?medUrl=https://WSTR.ebsi.co.kr/M41M2201/S20220000415/S20220000415_1M4_100030027368.mp4&amp;strStartTm=1661&amp;pType=2</v>
      </c>
    </row>
    <row r="268" spans="1:10" x14ac:dyDescent="0.3">
      <c r="A268" s="2" t="str">
        <f>작업!E268</f>
        <v>확률과 통계</v>
      </c>
      <c r="B268" s="2" t="str">
        <f>작업!F268</f>
        <v>3. 통계</v>
      </c>
      <c r="C268" s="2" t="str">
        <f>작업!G268</f>
        <v>Q. 확률분포</v>
      </c>
      <c r="D268" s="2" t="str">
        <f>작업!H268</f>
        <v>이산확률분포</v>
      </c>
      <c r="E268" s="2" t="str">
        <f>작업!C268&amp;"("&amp;VLOOKUP(작업!D268,작업!$N$2:$O$6,2,0)&amp;")"</f>
        <v>20241126(♥♥)</v>
      </c>
      <c r="F268" s="2" t="str">
        <f>작업!I268</f>
        <v>mun/20241126.png</v>
      </c>
      <c r="G268" s="2">
        <f>작업!J268</f>
        <v>2</v>
      </c>
      <c r="H268" s="2">
        <f>작업!D268</f>
        <v>2</v>
      </c>
      <c r="I268" s="2">
        <f>작업!K268</f>
        <v>1</v>
      </c>
      <c r="J268" s="2" t="str">
        <f>작업!L268</f>
        <v>https://ebsi.co.kr/ebs/lms/player/retrieveLmsPlayerHtml5Simple.ebs?medUrl=https://WSTR.ebsi.co.kr/M41M2301/S20230000616/S20230000616_1M4_100030044876.mp4&amp;strStartTm=660&amp;pType=2</v>
      </c>
    </row>
    <row r="269" spans="1:10" x14ac:dyDescent="0.3">
      <c r="A269" s="2" t="str">
        <f>작업!E269</f>
        <v>확률과 통계</v>
      </c>
      <c r="B269" s="2" t="str">
        <f>작업!F269</f>
        <v>3. 통계</v>
      </c>
      <c r="C269" s="2" t="str">
        <f>작업!G269</f>
        <v>Q. 확률분포</v>
      </c>
      <c r="D269" s="2" t="str">
        <f>작업!H269</f>
        <v>이산확률분포</v>
      </c>
      <c r="E269" s="2" t="str">
        <f>작업!C269&amp;"("&amp;VLOOKUP(작업!D269,작업!$N$2:$O$6,2,0)&amp;")"</f>
        <v>20250927(♥♥♥)</v>
      </c>
      <c r="F269" s="2" t="str">
        <f>작업!I269</f>
        <v>mun/20250927.png</v>
      </c>
      <c r="G269" s="2">
        <f>작업!J269</f>
        <v>4</v>
      </c>
      <c r="H269" s="2">
        <f>작업!D269</f>
        <v>3</v>
      </c>
      <c r="I269" s="2">
        <f>작업!K269</f>
        <v>1</v>
      </c>
      <c r="J269" s="2" t="str">
        <f>작업!L269</f>
        <v>https://ebsi.co.kr/ebs/lms/player/retrieveLmsPlayerHtml5Simple.ebs?medUrl=https://WSTR.ebsi.co.kr/M41M2401/S20240000528/S20240000528_1M4_100030058242.mp4&amp;strStartTm=1050&amp;pType=2</v>
      </c>
    </row>
    <row r="270" spans="1:10" x14ac:dyDescent="0.3">
      <c r="A270" s="2" t="str">
        <f>작업!E270</f>
        <v>확률과 통계</v>
      </c>
      <c r="B270" s="2" t="str">
        <f>작업!F270</f>
        <v>1. 경우의 수</v>
      </c>
      <c r="C270" s="2" t="str">
        <f>작업!G270</f>
        <v>M. 여러 가지 순열과 중복 조합</v>
      </c>
      <c r="D270" s="2" t="str">
        <f>작업!H270</f>
        <v>중복 조합</v>
      </c>
      <c r="E270" s="2" t="str">
        <f>작업!C270&amp;"("&amp;VLOOKUP(작업!D270,작업!$N$2:$O$6,2,0)&amp;")"</f>
        <v>20241129(♥♥♥♥)</v>
      </c>
      <c r="F270" s="2" t="str">
        <f>작업!I270</f>
        <v>mun/20241129.png</v>
      </c>
      <c r="G270" s="2">
        <f>작업!J270</f>
        <v>196</v>
      </c>
      <c r="H270" s="2">
        <f>작업!D270</f>
        <v>4</v>
      </c>
      <c r="I270" s="2">
        <f>작업!K270</f>
        <v>1</v>
      </c>
      <c r="J270" s="2" t="str">
        <f>작업!L270</f>
        <v>https://ebsi.co.kr/ebs/lms/player/retrieveLmsPlayerHtml5Simple.ebs?medUrl=https://WSTR.ebsi.co.kr/M41M2301/S20230000616/S20230000616_1M4_100030044876.mp4&amp;strStartTm=2076&amp;pType=2</v>
      </c>
    </row>
    <row r="271" spans="1:10" x14ac:dyDescent="0.3">
      <c r="A271" s="2" t="str">
        <f>작업!E271</f>
        <v>확률과 통계</v>
      </c>
      <c r="B271" s="2" t="str">
        <f>작업!F271</f>
        <v>3. 통계</v>
      </c>
      <c r="C271" s="2" t="str">
        <f>작업!G271</f>
        <v>Q. 확률분포</v>
      </c>
      <c r="D271" s="2" t="str">
        <f>작업!H271</f>
        <v>이항분포</v>
      </c>
      <c r="E271" s="2" t="str">
        <f>작업!C271&amp;"("&amp;VLOOKUP(작업!D271,작업!$N$2:$O$6,2,0)&amp;")"</f>
        <v>20220923(♥)</v>
      </c>
      <c r="F271" s="2" t="str">
        <f>작업!I271</f>
        <v>mun/20220923.png</v>
      </c>
      <c r="G271" s="2">
        <f>작업!J271</f>
        <v>3</v>
      </c>
      <c r="H271" s="2">
        <f>작업!D271</f>
        <v>1</v>
      </c>
      <c r="I271" s="2">
        <f>작업!K271</f>
        <v>1</v>
      </c>
      <c r="J271" s="2" t="str">
        <f>작업!L271</f>
        <v>https://ebsi.co.kr/ebs/lms/player/retrieveLmsPlayerHtml5Simple.ebs?medUrl=https://WSTR.ebsi.co.kr/M41M2101/S20210001003/S20210001003_1M4_100030008433.mp4&amp;strStartTm=295&amp;pType=2</v>
      </c>
    </row>
    <row r="272" spans="1:10" x14ac:dyDescent="0.3">
      <c r="A272" s="2" t="str">
        <f>작업!E272</f>
        <v>수학Ⅰ</v>
      </c>
      <c r="B272" s="2" t="str">
        <f>작업!F272</f>
        <v>1. 지수함수와 로그함수</v>
      </c>
      <c r="C272" s="2" t="str">
        <f>작업!G272</f>
        <v>A. 지수와 로그</v>
      </c>
      <c r="D272" s="2" t="str">
        <f>작업!H272</f>
        <v>지수의 연산</v>
      </c>
      <c r="E272" s="2" t="str">
        <f>작업!C272&amp;"("&amp;VLOOKUP(작업!D272,작업!$N$2:$O$6,2,0)&amp;")"</f>
        <v>20250601(♥)</v>
      </c>
      <c r="F272" s="2" t="str">
        <f>작업!I272</f>
        <v>mun/20250601.png</v>
      </c>
      <c r="G272" s="2">
        <f>작업!J272</f>
        <v>4</v>
      </c>
      <c r="H272" s="2">
        <f>작업!D272</f>
        <v>1</v>
      </c>
      <c r="I272" s="2">
        <f>작업!K272</f>
        <v>1</v>
      </c>
      <c r="J272" s="2" t="str">
        <f>작업!L272</f>
        <v>https://ebsi.co.kr/ebs/lms/player/retrieveLmsPlayerHtml5Simple.ebs?medUrl=https://WSTR.ebsi.co.kr/M41M2401/S20240000260/S20240000260_1M4_100030054380.mp4&amp;strStartTm=66&amp;pType=2</v>
      </c>
    </row>
    <row r="273" spans="1:10" x14ac:dyDescent="0.3">
      <c r="A273" s="2" t="str">
        <f>작업!E273</f>
        <v>수학Ⅱ</v>
      </c>
      <c r="B273" s="2" t="str">
        <f>작업!F273</f>
        <v>2. 미분</v>
      </c>
      <c r="C273" s="2" t="str">
        <f>작업!G273</f>
        <v>I. 도함수</v>
      </c>
      <c r="D273" s="2" t="str">
        <f>작업!H273</f>
        <v>미분계수와 도함수</v>
      </c>
      <c r="E273" s="2" t="str">
        <f>작업!C273&amp;"("&amp;VLOOKUP(작업!D273,작업!$N$2:$O$6,2,0)&amp;")"</f>
        <v>20250602(♥)</v>
      </c>
      <c r="F273" s="2" t="str">
        <f>작업!I273</f>
        <v>mun/20250602.png</v>
      </c>
      <c r="G273" s="2">
        <f>작업!J273</f>
        <v>5</v>
      </c>
      <c r="H273" s="2">
        <f>작업!D273</f>
        <v>1</v>
      </c>
      <c r="I273" s="2">
        <f>작업!K273</f>
        <v>1</v>
      </c>
      <c r="J273" s="2" t="str">
        <f>작업!L273</f>
        <v>https://ebsi.co.kr/ebs/lms/player/retrieveLmsPlayerHtml5Simple.ebs?medUrl=https://WSTR.ebsi.co.kr/M41M2401/S20240000260/S20240000260_1M4_100030054381.mp4&amp;strStartTm=384&amp;pType=2</v>
      </c>
    </row>
    <row r="274" spans="1:10" x14ac:dyDescent="0.3">
      <c r="A274" s="2" t="str">
        <f>작업!E274</f>
        <v>수학Ⅰ</v>
      </c>
      <c r="B274" s="2" t="str">
        <f>작업!F274</f>
        <v>3. 수열</v>
      </c>
      <c r="C274" s="2" t="str">
        <f>작업!G274</f>
        <v>E. 수열의 합</v>
      </c>
      <c r="D274" s="2" t="str">
        <f>작업!H274</f>
        <v>시그마의 뜻과 성질</v>
      </c>
      <c r="E274" s="2" t="str">
        <f>작업!C274&amp;"("&amp;VLOOKUP(작업!D274,작업!$N$2:$O$6,2,0)&amp;")"</f>
        <v>20250603(♥)</v>
      </c>
      <c r="F274" s="2" t="str">
        <f>작업!I274</f>
        <v>mun/20250603.png</v>
      </c>
      <c r="G274" s="2">
        <f>작업!J274</f>
        <v>3</v>
      </c>
      <c r="H274" s="2">
        <f>작업!D274</f>
        <v>1</v>
      </c>
      <c r="I274" s="2">
        <f>작업!K274</f>
        <v>1</v>
      </c>
      <c r="J274" s="2" t="str">
        <f>작업!L274</f>
        <v>https://ebsi.co.kr/ebs/lms/player/retrieveLmsPlayerHtml5Simple.ebs?medUrl=https://WSTR.ebsi.co.kr/M41M2401/S20240000260/S20240000260_1M4_100030054380.mp4&amp;strStartTm=125&amp;pType=2</v>
      </c>
    </row>
    <row r="275" spans="1:10" x14ac:dyDescent="0.3">
      <c r="A275" s="2" t="str">
        <f>작업!E275</f>
        <v>수학Ⅱ</v>
      </c>
      <c r="B275" s="2" t="str">
        <f>작업!F275</f>
        <v>1. 함수의 극한과 연속</v>
      </c>
      <c r="C275" s="2" t="str">
        <f>작업!G275</f>
        <v>G. 함수의 극한</v>
      </c>
      <c r="D275" s="2" t="str">
        <f>작업!H275</f>
        <v>함수의 극한</v>
      </c>
      <c r="E275" s="2" t="str">
        <f>작업!C275&amp;"("&amp;VLOOKUP(작업!D275,작업!$N$2:$O$6,2,0)&amp;")"</f>
        <v>20250604(♥♥)</v>
      </c>
      <c r="F275" s="2" t="str">
        <f>작업!I275</f>
        <v>mun/20250604.png</v>
      </c>
      <c r="G275" s="2">
        <f>작업!J275</f>
        <v>3</v>
      </c>
      <c r="H275" s="2">
        <f>작업!D275</f>
        <v>2</v>
      </c>
      <c r="I275" s="2">
        <f>작업!K275</f>
        <v>1</v>
      </c>
      <c r="J275" s="2" t="str">
        <f>작업!L275</f>
        <v>https://ebsi.co.kr/ebs/lms/player/retrieveLmsPlayerHtml5Simple.ebs?medUrl=https://WSTR.ebsi.co.kr/M41M2401/S20240000260/S20240000260_1M4_100030054381.mp4&amp;strStartTm=522&amp;pType=2</v>
      </c>
    </row>
    <row r="276" spans="1:10" x14ac:dyDescent="0.3">
      <c r="A276" s="2" t="str">
        <f>작업!E276</f>
        <v>수학Ⅱ</v>
      </c>
      <c r="B276" s="2" t="str">
        <f>작업!F276</f>
        <v>2. 미분</v>
      </c>
      <c r="C276" s="2" t="str">
        <f>작업!G276</f>
        <v>I. 도함수</v>
      </c>
      <c r="D276" s="2" t="str">
        <f>작업!H276</f>
        <v>곱함수의 미분법</v>
      </c>
      <c r="E276" s="2" t="str">
        <f>작업!C276&amp;"("&amp;VLOOKUP(작업!D276,작업!$N$2:$O$6,2,0)&amp;")"</f>
        <v>20250605(♥♥)</v>
      </c>
      <c r="F276" s="2" t="str">
        <f>작업!I276</f>
        <v>mun/20250605.png</v>
      </c>
      <c r="G276" s="2">
        <f>작업!J276</f>
        <v>5</v>
      </c>
      <c r="H276" s="2">
        <f>작업!D276</f>
        <v>2</v>
      </c>
      <c r="I276" s="2">
        <f>작업!K276</f>
        <v>1</v>
      </c>
      <c r="J276" s="2" t="str">
        <f>작업!L276</f>
        <v>https://ebsi.co.kr/ebs/lms/player/retrieveLmsPlayerHtml5Simple.ebs?medUrl=https://WSTR.ebsi.co.kr/M41M2401/S20240000260/S20240000260_1M4_100030054381.mp4&amp;strStartTm=598&amp;pType=2</v>
      </c>
    </row>
    <row r="277" spans="1:10" x14ac:dyDescent="0.3">
      <c r="A277" s="2" t="str">
        <f>작업!E277</f>
        <v>수학Ⅰ</v>
      </c>
      <c r="B277" s="2" t="str">
        <f>작업!F277</f>
        <v>2. 삼각함수</v>
      </c>
      <c r="C277" s="2" t="str">
        <f>작업!G277</f>
        <v>C. 삼각함수</v>
      </c>
      <c r="D277" s="2" t="str">
        <f>작업!H277</f>
        <v>삼각함수의 값</v>
      </c>
      <c r="E277" s="2" t="str">
        <f>작업!C277&amp;"("&amp;VLOOKUP(작업!D277,작업!$N$2:$O$6,2,0)&amp;")"</f>
        <v>20250606(♥♥)</v>
      </c>
      <c r="F277" s="2" t="str">
        <f>작업!I277</f>
        <v>mun/20250606.png</v>
      </c>
      <c r="G277" s="2">
        <f>작업!J277</f>
        <v>1</v>
      </c>
      <c r="H277" s="2">
        <f>작업!D277</f>
        <v>2</v>
      </c>
      <c r="I277" s="2">
        <f>작업!K277</f>
        <v>1</v>
      </c>
      <c r="J277" s="2" t="str">
        <f>작업!L277</f>
        <v>https://ebsi.co.kr/ebs/lms/player/retrieveLmsPlayerHtml5Simple.ebs?medUrl=https://WSTR.ebsi.co.kr/M41M2401/S20240000260/S20240000260_1M4_100030054380.mp4&amp;strStartTm=205&amp;pType=2</v>
      </c>
    </row>
    <row r="278" spans="1:10" x14ac:dyDescent="0.3">
      <c r="A278" s="2" t="str">
        <f>작업!E278</f>
        <v>수학Ⅱ</v>
      </c>
      <c r="B278" s="2" t="str">
        <f>작업!F278</f>
        <v>2. 미분</v>
      </c>
      <c r="C278" s="2" t="str">
        <f>작업!G278</f>
        <v>J. 도함수의 활용</v>
      </c>
      <c r="D278" s="2" t="str">
        <f>작업!H278</f>
        <v>방정식과 부등식에의 활용</v>
      </c>
      <c r="E278" s="2" t="str">
        <f>작업!C278&amp;"("&amp;VLOOKUP(작업!D278,작업!$N$2:$O$6,2,0)&amp;")"</f>
        <v>20250607(♥♥)</v>
      </c>
      <c r="F278" s="2" t="str">
        <f>작업!I278</f>
        <v>mun/20250607.png</v>
      </c>
      <c r="G278" s="2">
        <f>작업!J278</f>
        <v>4</v>
      </c>
      <c r="H278" s="2">
        <f>작업!D278</f>
        <v>2</v>
      </c>
      <c r="I278" s="2">
        <f>작업!K278</f>
        <v>1</v>
      </c>
      <c r="J278" s="2" t="str">
        <f>작업!L278</f>
        <v>https://ebsi.co.kr/ebs/lms/player/retrieveLmsPlayerHtml5Simple.ebs?medUrl=https://WSTR.ebsi.co.kr/M41M2401/S20240000260/S20240000260_1M4_100030054381.mp4&amp;strStartTm=686&amp;pType=2</v>
      </c>
    </row>
    <row r="279" spans="1:10" x14ac:dyDescent="0.3">
      <c r="A279" s="2" t="str">
        <f>작업!E279</f>
        <v>수학Ⅰ</v>
      </c>
      <c r="B279" s="2" t="str">
        <f>작업!F279</f>
        <v>3. 수열</v>
      </c>
      <c r="C279" s="2" t="str">
        <f>작업!G279</f>
        <v>D. 등차수열과 등비수열</v>
      </c>
      <c r="D279" s="2" t="str">
        <f>작업!H279</f>
        <v>등비수열</v>
      </c>
      <c r="E279" s="2" t="str">
        <f>작업!C279&amp;"("&amp;VLOOKUP(작업!D279,작업!$N$2:$O$6,2,0)&amp;")"</f>
        <v>20250608(♥♥)</v>
      </c>
      <c r="F279" s="2" t="str">
        <f>작업!I279</f>
        <v>mun/20250608.png</v>
      </c>
      <c r="G279" s="2">
        <f>작업!J279</f>
        <v>1</v>
      </c>
      <c r="H279" s="2">
        <f>작업!D279</f>
        <v>2</v>
      </c>
      <c r="I279" s="2">
        <f>작업!K279</f>
        <v>1</v>
      </c>
      <c r="J279" s="2" t="str">
        <f>작업!L279</f>
        <v>https://ebsi.co.kr/ebs/lms/player/retrieveLmsPlayerHtml5Simple.ebs?medUrl=https://WSTR.ebsi.co.kr/M41M2401/S20240000260/S20240000260_1M4_100030054380.mp4&amp;strStartTm=297&amp;pType=2</v>
      </c>
    </row>
    <row r="280" spans="1:10" x14ac:dyDescent="0.3">
      <c r="A280" s="2" t="str">
        <f>작업!E280</f>
        <v>수학Ⅱ</v>
      </c>
      <c r="B280" s="2" t="str">
        <f>작업!F280</f>
        <v>1. 함수의 극한과 연속</v>
      </c>
      <c r="C280" s="2" t="str">
        <f>작업!G280</f>
        <v>H. 함수의 연속</v>
      </c>
      <c r="D280" s="2" t="str">
        <f>작업!H280</f>
        <v>함수의 연속</v>
      </c>
      <c r="E280" s="2" t="str">
        <f>작업!C280&amp;"("&amp;VLOOKUP(작업!D280,작업!$N$2:$O$6,2,0)&amp;")"</f>
        <v>20250609(♥♥♥)</v>
      </c>
      <c r="F280" s="2" t="str">
        <f>작업!I280</f>
        <v>mun/20250609.png</v>
      </c>
      <c r="G280" s="2">
        <f>작업!J280</f>
        <v>3</v>
      </c>
      <c r="H280" s="2">
        <f>작업!D280</f>
        <v>3</v>
      </c>
      <c r="I280" s="2">
        <f>작업!K280</f>
        <v>1</v>
      </c>
      <c r="J280" s="2" t="str">
        <f>작업!L280</f>
        <v>https://ebsi.co.kr/ebs/lms/player/retrieveLmsPlayerHtml5Simple.ebs?medUrl=https://WSTR.ebsi.co.kr/M41M2401/S20240000260/S20240000260_1M4_100030054381.mp4&amp;strStartTm=897&amp;pType=2</v>
      </c>
    </row>
    <row r="281" spans="1:10" x14ac:dyDescent="0.3">
      <c r="A281" s="2" t="str">
        <f>작업!E281</f>
        <v>수학Ⅰ</v>
      </c>
      <c r="B281" s="2" t="str">
        <f>작업!F281</f>
        <v>2. 삼각함수</v>
      </c>
      <c r="C281" s="2" t="str">
        <f>작업!G281</f>
        <v>C. 삼각함수</v>
      </c>
      <c r="D281" s="2" t="str">
        <f>작업!H281</f>
        <v>사인법칙과 코사인법칙</v>
      </c>
      <c r="E281" s="2" t="str">
        <f>작업!C281&amp;"("&amp;VLOOKUP(작업!D281,작업!$N$2:$O$6,2,0)&amp;")"</f>
        <v>20250610(♥♥♥)</v>
      </c>
      <c r="F281" s="2" t="str">
        <f>작업!I281</f>
        <v>mun/20250610.png</v>
      </c>
      <c r="G281" s="2">
        <f>작업!J281</f>
        <v>5</v>
      </c>
      <c r="H281" s="2">
        <f>작업!D281</f>
        <v>3</v>
      </c>
      <c r="I281" s="2">
        <f>작업!K281</f>
        <v>1</v>
      </c>
      <c r="J281" s="2" t="str">
        <f>작업!L281</f>
        <v>https://ebsi.co.kr/ebs/lms/player/retrieveLmsPlayerHtml5Simple.ebs?medUrl=https://WSTR.ebsi.co.kr/M41M2401/S20240000260/S20240000260_1M4_100030054380.mp4&amp;strStartTm=510&amp;pType=2</v>
      </c>
    </row>
    <row r="282" spans="1:10" x14ac:dyDescent="0.3">
      <c r="A282" s="2" t="str">
        <f>작업!E282</f>
        <v>수학Ⅱ</v>
      </c>
      <c r="B282" s="2" t="str">
        <f>작업!F282</f>
        <v>2. 미분</v>
      </c>
      <c r="C282" s="2" t="str">
        <f>작업!G282</f>
        <v>J. 도함수의 활용</v>
      </c>
      <c r="D282" s="2" t="str">
        <f>작업!H282</f>
        <v>접선의 방정식</v>
      </c>
      <c r="E282" s="2" t="str">
        <f>작업!C282&amp;"("&amp;VLOOKUP(작업!D282,작업!$N$2:$O$6,2,0)&amp;")"</f>
        <v>20250611(♥♥♥)</v>
      </c>
      <c r="F282" s="2" t="str">
        <f>작업!I282</f>
        <v>mun/20250611.png</v>
      </c>
      <c r="G282" s="2">
        <f>작업!J282</f>
        <v>5</v>
      </c>
      <c r="H282" s="2">
        <f>작업!D282</f>
        <v>3</v>
      </c>
      <c r="I282" s="2">
        <f>작업!K282</f>
        <v>1</v>
      </c>
      <c r="J282" s="2" t="str">
        <f>작업!L282</f>
        <v>https://ebsi.co.kr/ebs/lms/player/retrieveLmsPlayerHtml5Simple.ebs?medUrl=https://WSTR.ebsi.co.kr/M41M2401/S20240000260/S20240000260_1M4_100030054381.mp4&amp;strStartTm=1181&amp;pType=2</v>
      </c>
    </row>
    <row r="283" spans="1:10" x14ac:dyDescent="0.3">
      <c r="A283" s="2" t="str">
        <f>작업!E283</f>
        <v>수학Ⅰ</v>
      </c>
      <c r="B283" s="2" t="str">
        <f>작업!F283</f>
        <v>1. 지수함수와 로그함수</v>
      </c>
      <c r="C283" s="2" t="str">
        <f>작업!G283</f>
        <v>B. 지수함수와 로그함수</v>
      </c>
      <c r="D283" s="2" t="str">
        <f>작업!H283</f>
        <v>그래프에서 도형의 성질</v>
      </c>
      <c r="E283" s="2" t="str">
        <f>작업!C283&amp;"("&amp;VLOOKUP(작업!D283,작업!$N$2:$O$6,2,0)&amp;")"</f>
        <v>20250612(♥♥♥♥)</v>
      </c>
      <c r="F283" s="2" t="str">
        <f>작업!I283</f>
        <v>mun/20250612.png</v>
      </c>
      <c r="G283" s="2">
        <f>작업!J283</f>
        <v>3</v>
      </c>
      <c r="H283" s="2">
        <f>작업!D283</f>
        <v>4</v>
      </c>
      <c r="I283" s="2">
        <f>작업!K283</f>
        <v>1</v>
      </c>
      <c r="J283" s="2" t="str">
        <f>작업!L283</f>
        <v>https://ebsi.co.kr/ebs/lms/player/retrieveLmsPlayerHtml5Simple.ebs?medUrl=https://WSTR.ebsi.co.kr/M41M2401/S20240000260/S20240000260_1M4_100030054380.mp4&amp;strStartTm=989&amp;pType=2</v>
      </c>
    </row>
    <row r="284" spans="1:10" x14ac:dyDescent="0.3">
      <c r="A284" s="2" t="str">
        <f>작업!E284</f>
        <v>수학Ⅱ</v>
      </c>
      <c r="B284" s="2" t="str">
        <f>작업!F284</f>
        <v>3. 적분</v>
      </c>
      <c r="C284" s="2" t="str">
        <f>작업!G284</f>
        <v>L. 정적분</v>
      </c>
      <c r="D284" s="2" t="str">
        <f>작업!H284</f>
        <v>곡선 사이의 넓이</v>
      </c>
      <c r="E284" s="2" t="str">
        <f>작업!C284&amp;"("&amp;VLOOKUP(작업!D284,작업!$N$2:$O$6,2,0)&amp;")"</f>
        <v>20250613(♥♥♥♥)</v>
      </c>
      <c r="F284" s="2" t="str">
        <f>작업!I284</f>
        <v>mun/20250613.png</v>
      </c>
      <c r="G284" s="2">
        <f>작업!J284</f>
        <v>3</v>
      </c>
      <c r="H284" s="2">
        <f>작업!D284</f>
        <v>4</v>
      </c>
      <c r="I284" s="2">
        <f>작업!K284</f>
        <v>1</v>
      </c>
      <c r="J284" s="2" t="str">
        <f>작업!L284</f>
        <v>https://ebsi.co.kr/ebs/lms/player/retrieveLmsPlayerHtml5Simple.ebs?medUrl=https://WSTR.ebsi.co.kr/M41M2401/S20240000260/S20240000260_1M4_100030054381.mp4&amp;strStartTm=1664&amp;pType=2</v>
      </c>
    </row>
    <row r="285" spans="1:10" x14ac:dyDescent="0.3">
      <c r="A285" s="2" t="str">
        <f>작업!E285</f>
        <v>수학Ⅰ</v>
      </c>
      <c r="B285" s="2" t="str">
        <f>작업!F285</f>
        <v>1. 지수함수와 로그함수</v>
      </c>
      <c r="C285" s="2" t="str">
        <f>작업!G285</f>
        <v>B. 지수함수와 로그함수</v>
      </c>
      <c r="D285" s="2" t="str">
        <f>작업!H285</f>
        <v>방정식과 부등식에의 활용</v>
      </c>
      <c r="E285" s="2" t="str">
        <f>작업!C285&amp;"("&amp;VLOOKUP(작업!D285,작업!$N$2:$O$6,2,0)&amp;")"</f>
        <v>20250614(♥♥♥♥)</v>
      </c>
      <c r="F285" s="2" t="str">
        <f>작업!I285</f>
        <v>mun/20250614.png</v>
      </c>
      <c r="G285" s="2">
        <f>작업!J285</f>
        <v>4</v>
      </c>
      <c r="H285" s="2">
        <f>작업!D285</f>
        <v>4</v>
      </c>
      <c r="I285" s="2">
        <f>작업!K285</f>
        <v>1</v>
      </c>
      <c r="J285" s="2" t="str">
        <f>작업!L285</f>
        <v>https://ebsi.co.kr/ebs/lms/player/retrieveLmsPlayerHtml5Simple.ebs?medUrl=https://WSTR.ebsi.co.kr/M41M2401/S20240000260/S20240000260_1M4_100030054380.mp4&amp;strStartTm=1691&amp;pType=2</v>
      </c>
    </row>
    <row r="286" spans="1:10" x14ac:dyDescent="0.3">
      <c r="A286" s="2" t="str">
        <f>작업!E286</f>
        <v>수학Ⅱ</v>
      </c>
      <c r="B286" s="2" t="str">
        <f>작업!F286</f>
        <v>2. 미분</v>
      </c>
      <c r="C286" s="2" t="str">
        <f>작업!G286</f>
        <v>J. 도함수의 활용</v>
      </c>
      <c r="D286" s="2" t="str">
        <f>작업!H286</f>
        <v>함수의 추론</v>
      </c>
      <c r="E286" s="2" t="str">
        <f>작업!C286&amp;"("&amp;VLOOKUP(작업!D286,작업!$N$2:$O$6,2,0)&amp;")"</f>
        <v>20250615(♥♥♥♥♥)</v>
      </c>
      <c r="F286" s="2" t="str">
        <f>작업!I286</f>
        <v>mun/20250615.png</v>
      </c>
      <c r="G286" s="2">
        <f>작업!J286</f>
        <v>2</v>
      </c>
      <c r="H286" s="2">
        <f>작업!D286</f>
        <v>5</v>
      </c>
      <c r="I286" s="2">
        <f>작업!K286</f>
        <v>1</v>
      </c>
      <c r="J286" s="2" t="str">
        <f>작업!L286</f>
        <v>https://ebsi.co.kr/ebs/lms/player/retrieveLmsPlayerHtml5Simple.ebs?medUrl=https://WSTR.ebsi.co.kr/M41M2401/S20240000260/S20240000260_1M4_100030054381.mp4&amp;strStartTm=1944&amp;pType=2</v>
      </c>
    </row>
    <row r="287" spans="1:10" x14ac:dyDescent="0.3">
      <c r="A287" s="2" t="str">
        <f>작업!E287</f>
        <v>수학Ⅰ</v>
      </c>
      <c r="B287" s="2" t="str">
        <f>작업!F287</f>
        <v>1. 지수함수와 로그함수</v>
      </c>
      <c r="C287" s="2" t="str">
        <f>작업!G287</f>
        <v>B. 지수함수와 로그함수</v>
      </c>
      <c r="D287" s="2" t="str">
        <f>작업!H287</f>
        <v>방정식과 부등식에의 활용</v>
      </c>
      <c r="E287" s="2" t="str">
        <f>작업!C287&amp;"("&amp;VLOOKUP(작업!D287,작업!$N$2:$O$6,2,0)&amp;")"</f>
        <v>20250616(♥)</v>
      </c>
      <c r="F287" s="2" t="str">
        <f>작업!I287</f>
        <v>mun/20250616.png</v>
      </c>
      <c r="G287" s="2">
        <f>작업!J287</f>
        <v>7</v>
      </c>
      <c r="H287" s="2">
        <f>작업!D287</f>
        <v>1</v>
      </c>
      <c r="I287" s="2">
        <f>작업!K287</f>
        <v>1</v>
      </c>
      <c r="J287" s="2" t="str">
        <f>작업!L287</f>
        <v>https://ebsi.co.kr/ebs/lms/player/retrieveLmsPlayerHtml5Simple.ebs?medUrl=https://WSTR.ebsi.co.kr/M41M2401/S20240000260/S20240000260_1M4_100030054380.mp4&amp;strStartTm=2346&amp;pType=2</v>
      </c>
    </row>
    <row r="288" spans="1:10" x14ac:dyDescent="0.3">
      <c r="A288" s="2" t="str">
        <f>작업!E288</f>
        <v>수학Ⅱ</v>
      </c>
      <c r="B288" s="2" t="str">
        <f>작업!F288</f>
        <v>3. 적분</v>
      </c>
      <c r="C288" s="2" t="str">
        <f>작업!G288</f>
        <v>K. 부정적분</v>
      </c>
      <c r="D288" s="2" t="str">
        <f>작업!H288</f>
        <v>부정적분</v>
      </c>
      <c r="E288" s="2" t="str">
        <f>작업!C288&amp;"("&amp;VLOOKUP(작업!D288,작업!$N$2:$O$6,2,0)&amp;")"</f>
        <v>20250617(♥)</v>
      </c>
      <c r="F288" s="2" t="str">
        <f>작업!I288</f>
        <v>mun/20250617.png</v>
      </c>
      <c r="G288" s="2">
        <f>작업!J288</f>
        <v>23</v>
      </c>
      <c r="H288" s="2">
        <f>작업!D288</f>
        <v>1</v>
      </c>
      <c r="I288" s="2">
        <f>작업!K288</f>
        <v>1</v>
      </c>
      <c r="J288" s="2" t="str">
        <f>작업!L288</f>
        <v>https://ebsi.co.kr/ebs/lms/player/retrieveLmsPlayerHtml5Simple.ebs?medUrl=https://WSTR.ebsi.co.kr/M41M2401/S20240000260/S20240000260_1M4_100030054381.mp4&amp;strStartTm=3215&amp;pType=2</v>
      </c>
    </row>
    <row r="289" spans="1:10" x14ac:dyDescent="0.3">
      <c r="A289" s="2" t="str">
        <f>작업!E289</f>
        <v>수학Ⅰ</v>
      </c>
      <c r="B289" s="2" t="str">
        <f>작업!F289</f>
        <v>3. 수열</v>
      </c>
      <c r="C289" s="2" t="str">
        <f>작업!G289</f>
        <v>E. 수열의 합</v>
      </c>
      <c r="D289" s="2" t="str">
        <f>작업!H289</f>
        <v>시그마의 뜻과 성질</v>
      </c>
      <c r="E289" s="2" t="str">
        <f>작업!C289&amp;"("&amp;VLOOKUP(작업!D289,작업!$N$2:$O$6,2,0)&amp;")"</f>
        <v>20250618(♥♥♥)</v>
      </c>
      <c r="F289" s="2" t="str">
        <f>작업!I289</f>
        <v>mun/20250618.png</v>
      </c>
      <c r="G289" s="2">
        <f>작업!J289</f>
        <v>2</v>
      </c>
      <c r="H289" s="2">
        <f>작업!D289</f>
        <v>3</v>
      </c>
      <c r="I289" s="2">
        <f>작업!K289</f>
        <v>1</v>
      </c>
      <c r="J289" s="2" t="str">
        <f>작업!L289</f>
        <v>https://ebsi.co.kr/ebs/lms/player/retrieveLmsPlayerHtml5Simple.ebs?medUrl=https://WSTR.ebsi.co.kr/M41M2401/S20240000260/S20240000260_1M4_100030054380.mp4&amp;strStartTm=2417&amp;pType=2</v>
      </c>
    </row>
    <row r="290" spans="1:10" x14ac:dyDescent="0.3">
      <c r="A290" s="2" t="str">
        <f>작업!E290</f>
        <v>수학Ⅱ</v>
      </c>
      <c r="B290" s="2" t="str">
        <f>작업!F290</f>
        <v>3. 적분</v>
      </c>
      <c r="C290" s="2" t="str">
        <f>작업!G290</f>
        <v>L. 정적분</v>
      </c>
      <c r="D290" s="2" t="str">
        <f>작업!H290</f>
        <v>속도와 거리</v>
      </c>
      <c r="E290" s="2" t="str">
        <f>작업!C290&amp;"("&amp;VLOOKUP(작업!D290,작업!$N$2:$O$6,2,0)&amp;")"</f>
        <v>20250619(♥♥♥)</v>
      </c>
      <c r="F290" s="2" t="str">
        <f>작업!I290</f>
        <v>mun/20250619.png</v>
      </c>
      <c r="G290" s="2">
        <f>작업!J290</f>
        <v>16</v>
      </c>
      <c r="H290" s="2">
        <f>작업!D290</f>
        <v>3</v>
      </c>
      <c r="I290" s="2">
        <f>작업!K290</f>
        <v>1</v>
      </c>
      <c r="J290" s="2" t="str">
        <f>작업!L290</f>
        <v>https://ebsi.co.kr/ebs/lms/player/retrieveLmsPlayerHtml5Simple.ebs?medUrl=https://WSTR.ebsi.co.kr/M41M2401/S20240000260/S20240000260_1M4_100030054381.mp4&amp;strStartTm=3261&amp;pType=2</v>
      </c>
    </row>
    <row r="291" spans="1:10" x14ac:dyDescent="0.3">
      <c r="A291" s="2" t="str">
        <f>작업!E291</f>
        <v>수학Ⅰ</v>
      </c>
      <c r="B291" s="2" t="str">
        <f>작업!F291</f>
        <v>2. 삼각함수</v>
      </c>
      <c r="C291" s="2" t="str">
        <f>작업!G291</f>
        <v>C. 삼각함수</v>
      </c>
      <c r="D291" s="2" t="str">
        <f>작업!H291</f>
        <v>삼각함수의 그래프</v>
      </c>
      <c r="E291" s="2" t="str">
        <f>작업!C291&amp;"("&amp;VLOOKUP(작업!D291,작업!$N$2:$O$6,2,0)&amp;")"</f>
        <v>20250620(♥♥♥♥)</v>
      </c>
      <c r="F291" s="2" t="str">
        <f>작업!I291</f>
        <v>mun/20250620.png</v>
      </c>
      <c r="G291" s="2">
        <f>작업!J291</f>
        <v>24</v>
      </c>
      <c r="H291" s="2">
        <f>작업!D291</f>
        <v>4</v>
      </c>
      <c r="I291" s="2">
        <f>작업!K291</f>
        <v>1</v>
      </c>
      <c r="J291" s="2" t="str">
        <f>작업!L291</f>
        <v>https://ebsi.co.kr/ebs/lms/player/retrieveLmsPlayerHtml5Simple.ebs?medUrl=https://WSTR.ebsi.co.kr/M41M2401/S20240000260/S20240000260_1M4_100030054380.mp4&amp;strStartTm=2521&amp;pType=2</v>
      </c>
    </row>
    <row r="292" spans="1:10" x14ac:dyDescent="0.3">
      <c r="A292" s="2" t="str">
        <f>작업!E292</f>
        <v>수학Ⅱ</v>
      </c>
      <c r="B292" s="2" t="str">
        <f>작업!F292</f>
        <v>2. 미분</v>
      </c>
      <c r="C292" s="2" t="str">
        <f>작업!G292</f>
        <v>J. 도함수의 활용</v>
      </c>
      <c r="D292" s="2" t="str">
        <f>작업!H292</f>
        <v>함수의 추론</v>
      </c>
      <c r="E292" s="2" t="str">
        <f>작업!C292&amp;"("&amp;VLOOKUP(작업!D292,작업!$N$2:$O$6,2,0)&amp;")"</f>
        <v>20250621(♥♥♥♥)</v>
      </c>
      <c r="F292" s="2" t="str">
        <f>작업!I292</f>
        <v>mun/20250621.png</v>
      </c>
      <c r="G292" s="2">
        <f>작업!J292</f>
        <v>15</v>
      </c>
      <c r="H292" s="2">
        <f>작업!D292</f>
        <v>4</v>
      </c>
      <c r="I292" s="2">
        <f>작업!K292</f>
        <v>1</v>
      </c>
      <c r="J292" s="2" t="str">
        <f>작업!L292</f>
        <v>https://ebsi.co.kr/ebs/lms/player/retrieveLmsPlayerHtml5Simple.ebs?medUrl=https://WSTR.ebsi.co.kr/M41M2401/S20240000260/S20240000260_1M4_100030054381.mp4&amp;strStartTm=3567&amp;pType=2</v>
      </c>
    </row>
    <row r="293" spans="1:10" x14ac:dyDescent="0.3">
      <c r="A293" s="2" t="str">
        <f>작업!E293</f>
        <v>수학Ⅰ</v>
      </c>
      <c r="B293" s="2" t="str">
        <f>작업!F293</f>
        <v>3. 수열</v>
      </c>
      <c r="C293" s="2" t="str">
        <f>작업!G293</f>
        <v>F. 수학적 귀납법</v>
      </c>
      <c r="D293" s="2" t="str">
        <f>작업!H293</f>
        <v>수열의 귀납적 정의</v>
      </c>
      <c r="E293" s="2" t="str">
        <f>작업!C293&amp;"("&amp;VLOOKUP(작업!D293,작업!$N$2:$O$6,2,0)&amp;")"</f>
        <v>20250622(♥♥♥♥♥)</v>
      </c>
      <c r="F293" s="2" t="str">
        <f>작업!I293</f>
        <v>mun/20250622.png</v>
      </c>
      <c r="G293" s="2">
        <f>작업!J293</f>
        <v>231</v>
      </c>
      <c r="H293" s="2">
        <f>작업!D293</f>
        <v>5</v>
      </c>
      <c r="I293" s="2">
        <f>작업!K293</f>
        <v>1</v>
      </c>
      <c r="J293" s="2" t="str">
        <f>작업!L293</f>
        <v>https://ebsi.co.kr/ebs/lms/player/retrieveLmsPlayerHtml5Simple.ebs?medUrl=https://WSTR.ebsi.co.kr/M41M2401/S20240000260/S20240000260_1M4_100030054380.mp4&amp;strStartTm=3050&amp;pType=2</v>
      </c>
    </row>
    <row r="294" spans="1:10" x14ac:dyDescent="0.3">
      <c r="A294" s="2" t="str">
        <f>작업!E294</f>
        <v>확률과 통계</v>
      </c>
      <c r="B294" s="2" t="str">
        <f>작업!F294</f>
        <v>1. 경우의 수</v>
      </c>
      <c r="C294" s="2" t="str">
        <f>작업!G294</f>
        <v>M. 여러 가지 순열과 중복 조합</v>
      </c>
      <c r="D294" s="2" t="str">
        <f>작업!H294</f>
        <v>같은 것이 있는 순열</v>
      </c>
      <c r="E294" s="2" t="str">
        <f>작업!C294&amp;"("&amp;VLOOKUP(작업!D294,작업!$N$2:$O$6,2,0)&amp;")"</f>
        <v>20250623(♥)</v>
      </c>
      <c r="F294" s="2" t="str">
        <f>작업!I294</f>
        <v>mun/20250623.png</v>
      </c>
      <c r="G294" s="2">
        <f>작업!J294</f>
        <v>3</v>
      </c>
      <c r="H294" s="2">
        <f>작업!D294</f>
        <v>1</v>
      </c>
      <c r="I294" s="2">
        <f>작업!K294</f>
        <v>1</v>
      </c>
      <c r="J294" s="2" t="str">
        <f>작업!L294</f>
        <v>https://ebsi.co.kr/ebs/lms/player/retrieveLmsPlayerHtml5Simple.ebs?medUrl=https://WSTR.ebsi.co.kr/M41M2401/S20240000260/S20240000260_1M4_100030054382.mp4&amp;strStartTm=120&amp;pType=2</v>
      </c>
    </row>
    <row r="295" spans="1:10" x14ac:dyDescent="0.3">
      <c r="A295" s="2" t="str">
        <f>작업!E295</f>
        <v>확률과 통계</v>
      </c>
      <c r="B295" s="2" t="str">
        <f>작업!F295</f>
        <v>3. 통계</v>
      </c>
      <c r="C295" s="2" t="str">
        <f>작업!G295</f>
        <v>Q. 확률분포</v>
      </c>
      <c r="D295" s="2" t="str">
        <f>작업!H295</f>
        <v>이항분포</v>
      </c>
      <c r="E295" s="2" t="str">
        <f>작업!C295&amp;"("&amp;VLOOKUP(작업!D295,작업!$N$2:$O$6,2,0)&amp;")"</f>
        <v>20221124(♥)</v>
      </c>
      <c r="F295" s="2" t="str">
        <f>작업!I295</f>
        <v>mun/20221124.png</v>
      </c>
      <c r="G295" s="2">
        <f>작업!J295</f>
        <v>4</v>
      </c>
      <c r="H295" s="2">
        <f>작업!D295</f>
        <v>1</v>
      </c>
      <c r="I295" s="2">
        <f>작업!K295</f>
        <v>1</v>
      </c>
      <c r="J295" s="2" t="str">
        <f>작업!L295</f>
        <v>https://ebsi.co.kr/ebs/lms/player/retrieveLmsPlayerHtml5Simple.ebs?medUrl=https://WSTR.ebsi.co.kr/M41M2101/S20210001189/S20210001189_1M4_100030011708.mp4&amp;strStartTm=458&amp;pType=2</v>
      </c>
    </row>
    <row r="296" spans="1:10" x14ac:dyDescent="0.3">
      <c r="A296" s="2" t="str">
        <f>작업!E296</f>
        <v>확률과 통계</v>
      </c>
      <c r="B296" s="2" t="str">
        <f>작업!F296</f>
        <v>1. 경우의 수</v>
      </c>
      <c r="C296" s="2" t="str">
        <f>작업!G296</f>
        <v>N. 이항정리와 이항계수</v>
      </c>
      <c r="D296" s="2" t="str">
        <f>작업!H296</f>
        <v>전개식의 계수</v>
      </c>
      <c r="E296" s="2" t="str">
        <f>작업!C296&amp;"("&amp;VLOOKUP(작업!D296,작업!$N$2:$O$6,2,0)&amp;")"</f>
        <v>20250625(♥♥)</v>
      </c>
      <c r="F296" s="2" t="str">
        <f>작업!I296</f>
        <v>mun/20250625.png</v>
      </c>
      <c r="G296" s="2">
        <f>작업!J296</f>
        <v>4</v>
      </c>
      <c r="H296" s="2">
        <f>작업!D296</f>
        <v>2</v>
      </c>
      <c r="I296" s="2">
        <f>작업!K296</f>
        <v>1</v>
      </c>
      <c r="J296" s="2" t="str">
        <f>작업!L296</f>
        <v>https://ebsi.co.kr/ebs/lms/player/retrieveLmsPlayerHtml5Simple.ebs?medUrl=https://WSTR.ebsi.co.kr/M41M2401/S20240000260/S20240000260_1M4_100030054382.mp4&amp;strStartTm=401&amp;pType=2</v>
      </c>
    </row>
    <row r="297" spans="1:10" x14ac:dyDescent="0.3">
      <c r="A297" s="2" t="str">
        <f>작업!E297</f>
        <v>확률과 통계</v>
      </c>
      <c r="B297" s="2" t="str">
        <f>작업!F297</f>
        <v>3. 통계</v>
      </c>
      <c r="C297" s="2" t="str">
        <f>작업!G297</f>
        <v>Q. 확률분포</v>
      </c>
      <c r="D297" s="2" t="str">
        <f>작업!H297</f>
        <v>이항분포</v>
      </c>
      <c r="E297" s="2" t="str">
        <f>작업!C297&amp;"("&amp;VLOOKUP(작업!D297,작업!$N$2:$O$6,2,0)&amp;")"</f>
        <v>20240923(♥)</v>
      </c>
      <c r="F297" s="2" t="str">
        <f>작업!I297</f>
        <v>mun/20240923.png</v>
      </c>
      <c r="G297" s="2">
        <f>작업!J297</f>
        <v>1</v>
      </c>
      <c r="H297" s="2">
        <f>작업!D297</f>
        <v>1</v>
      </c>
      <c r="I297" s="2">
        <f>작업!K297</f>
        <v>1</v>
      </c>
      <c r="J297" s="2" t="str">
        <f>작업!L297</f>
        <v>https://ebsi.co.kr/ebs/lms/player/retrieveLmsPlayerHtml5Simple.ebs?medUrl=https://WSTR.ebsi.co.kr/M41M2301/S20230000491/S20230000491_1M4_100030043587.mp4&amp;strStartTm=392&amp;pType=2</v>
      </c>
    </row>
    <row r="298" spans="1:10" x14ac:dyDescent="0.3">
      <c r="A298" s="2" t="str">
        <f>작업!E298</f>
        <v>확률과 통계</v>
      </c>
      <c r="B298" s="2" t="str">
        <f>작업!F298</f>
        <v>1. 경우의 수</v>
      </c>
      <c r="C298" s="2" t="str">
        <f>작업!G298</f>
        <v>M. 여러 가지 순열과 중복 조합</v>
      </c>
      <c r="D298" s="2" t="str">
        <f>작업!H298</f>
        <v>원순열</v>
      </c>
      <c r="E298" s="2" t="str">
        <f>작업!C298&amp;"("&amp;VLOOKUP(작업!D298,작업!$N$2:$O$6,2,0)&amp;")"</f>
        <v>20250627(♥♥♥)</v>
      </c>
      <c r="F298" s="2" t="str">
        <f>작업!I298</f>
        <v>mun/20250627.png</v>
      </c>
      <c r="G298" s="2">
        <f>작업!J298</f>
        <v>1</v>
      </c>
      <c r="H298" s="2">
        <f>작업!D298</f>
        <v>3</v>
      </c>
      <c r="I298" s="2">
        <f>작업!K298</f>
        <v>1</v>
      </c>
      <c r="J298" s="2" t="str">
        <f>작업!L298</f>
        <v>https://ebsi.co.kr/ebs/lms/player/retrieveLmsPlayerHtml5Simple.ebs?medUrl=https://WSTR.ebsi.co.kr/M41M2401/S20240000260/S20240000260_1M4_100030054382.mp4&amp;strStartTm=1219&amp;pType=2</v>
      </c>
    </row>
    <row r="299" spans="1:10" x14ac:dyDescent="0.3">
      <c r="A299" s="2" t="str">
        <f>작업!E299</f>
        <v>확률과 통계</v>
      </c>
      <c r="B299" s="2" t="str">
        <f>작업!F299</f>
        <v>3. 통계</v>
      </c>
      <c r="C299" s="2" t="str">
        <f>작업!G299</f>
        <v>Q. 확률분포</v>
      </c>
      <c r="D299" s="2" t="str">
        <f>작업!H299</f>
        <v>이항분포와 정규분포의 관계</v>
      </c>
      <c r="E299" s="2" t="str">
        <f>작업!C299&amp;"("&amp;VLOOKUP(작업!D299,작업!$N$2:$O$6,2,0)&amp;")"</f>
        <v>20250929(♥♥♥♥)</v>
      </c>
      <c r="F299" s="2" t="str">
        <f>작업!I299</f>
        <v>mun/20250929.png</v>
      </c>
      <c r="G299" s="2">
        <f>작업!J299</f>
        <v>994</v>
      </c>
      <c r="H299" s="2">
        <f>작업!D299</f>
        <v>4</v>
      </c>
      <c r="I299" s="2">
        <f>작업!K299</f>
        <v>1</v>
      </c>
      <c r="J299" s="2" t="str">
        <f>작업!L299</f>
        <v>https://ebsi.co.kr/ebs/lms/player/retrieveLmsPlayerHtml5Simple.ebs?medUrl=https://WSTR.ebsi.co.kr/M41M2401/S20240000528/S20240000528_1M4_100030058242.mp4&amp;strStartTm=1876&amp;pType=2</v>
      </c>
    </row>
    <row r="300" spans="1:10" x14ac:dyDescent="0.3">
      <c r="A300" s="2" t="str">
        <f>작업!E300</f>
        <v>확률과 통계</v>
      </c>
      <c r="B300" s="2" t="str">
        <f>작업!F300</f>
        <v>3. 통계</v>
      </c>
      <c r="C300" s="2" t="str">
        <f>작업!G300</f>
        <v>Q. 확률분포</v>
      </c>
      <c r="D300" s="2" t="str">
        <f>작업!H300</f>
        <v>정규분포</v>
      </c>
      <c r="E300" s="2" t="str">
        <f>작업!C300&amp;"("&amp;VLOOKUP(작업!D300,작업!$N$2:$O$6,2,0)&amp;")"</f>
        <v>20230925(♥♥)</v>
      </c>
      <c r="F300" s="2" t="str">
        <f>작업!I300</f>
        <v>mun/20230925.png</v>
      </c>
      <c r="G300" s="2">
        <f>작업!J300</f>
        <v>4</v>
      </c>
      <c r="H300" s="2">
        <f>작업!D300</f>
        <v>2</v>
      </c>
      <c r="I300" s="2">
        <f>작업!K300</f>
        <v>1</v>
      </c>
      <c r="J300" s="2" t="str">
        <f>작업!L300</f>
        <v>https://ebsi.co.kr/ebs/lms/player/retrieveLmsPlayerHtml5Simple.ebs?medUrl=https://WSTR.ebsi.co.kr/M41M2201/S20220000415/S20220000415_1M4_100030027368.mp4&amp;strStartTm=891&amp;pType=2</v>
      </c>
    </row>
    <row r="301" spans="1:10" x14ac:dyDescent="0.3">
      <c r="A301" s="2" t="str">
        <f>작업!E301</f>
        <v>확률과 통계</v>
      </c>
      <c r="B301" s="2" t="str">
        <f>작업!F301</f>
        <v>1. 경우의 수</v>
      </c>
      <c r="C301" s="2" t="str">
        <f>작업!G301</f>
        <v>M. 여러 가지 순열과 중복 조합</v>
      </c>
      <c r="D301" s="2" t="str">
        <f>작업!H301</f>
        <v>중복 조합</v>
      </c>
      <c r="E301" s="2" t="str">
        <f>작업!C301&amp;"("&amp;VLOOKUP(작업!D301,작업!$N$2:$O$6,2,0)&amp;")"</f>
        <v>20250630(♥♥♥♥♥)</v>
      </c>
      <c r="F301" s="2" t="str">
        <f>작업!I301</f>
        <v>mun/20250630.png</v>
      </c>
      <c r="G301" s="2">
        <f>작업!J301</f>
        <v>108</v>
      </c>
      <c r="H301" s="2">
        <f>작업!D301</f>
        <v>5</v>
      </c>
      <c r="I301" s="2">
        <f>작업!K301</f>
        <v>1</v>
      </c>
      <c r="J301" s="2" t="str">
        <f>작업!L301</f>
        <v>https://ebsi.co.kr/ebs/lms/player/retrieveLmsPlayerHtml5Simple.ebs?medUrl=https://WSTR.ebsi.co.kr/M41M2401/S20240000260/S20240000260_1M4_100030054382.mp4&amp;strStartTm=2310&amp;pType=2</v>
      </c>
    </row>
    <row r="302" spans="1:10" x14ac:dyDescent="0.3">
      <c r="A302" s="2" t="str">
        <f>작업!E302</f>
        <v>수학Ⅰ</v>
      </c>
      <c r="B302" s="2" t="str">
        <f>작업!F302</f>
        <v>1. 지수함수와 로그함수</v>
      </c>
      <c r="C302" s="2" t="str">
        <f>작업!G302</f>
        <v>A. 지수와 로그</v>
      </c>
      <c r="D302" s="2" t="str">
        <f>작업!H302</f>
        <v>지수의 연산</v>
      </c>
      <c r="E302" s="2" t="str">
        <f>작업!C302&amp;"("&amp;VLOOKUP(작업!D302,작업!$N$2:$O$6,2,0)&amp;")"</f>
        <v>20250901(♥)</v>
      </c>
      <c r="F302" s="2" t="str">
        <f>작업!I302</f>
        <v>mun/20250901.png</v>
      </c>
      <c r="G302" s="2">
        <f>작업!J302</f>
        <v>2</v>
      </c>
      <c r="H302" s="2">
        <f>작업!D302</f>
        <v>1</v>
      </c>
      <c r="I302" s="2">
        <f>작업!K302</f>
        <v>1</v>
      </c>
      <c r="J302" s="2" t="str">
        <f>작업!L302</f>
        <v>https://ebsi.co.kr/ebs/lms/player/retrieveLmsPlayerHtml5Simple.ebs?medUrl=https://WSTR.ebsi.co.kr/M41M2401/S20240000528/S20240000528_1M4_100030058240.mp4&amp;strStartTm=137&amp;pType=2</v>
      </c>
    </row>
    <row r="303" spans="1:10" x14ac:dyDescent="0.3">
      <c r="A303" s="2" t="str">
        <f>작업!E303</f>
        <v>수학Ⅱ</v>
      </c>
      <c r="B303" s="2" t="str">
        <f>작업!F303</f>
        <v>2. 미분</v>
      </c>
      <c r="C303" s="2" t="str">
        <f>작업!G303</f>
        <v>I. 도함수</v>
      </c>
      <c r="D303" s="2" t="str">
        <f>작업!H303</f>
        <v>미분계수와 도함수</v>
      </c>
      <c r="E303" s="2" t="str">
        <f>작업!C303&amp;"("&amp;VLOOKUP(작업!D303,작업!$N$2:$O$6,2,0)&amp;")"</f>
        <v>20250902(♥)</v>
      </c>
      <c r="F303" s="2" t="str">
        <f>작업!I303</f>
        <v>mun/20250902.png</v>
      </c>
      <c r="G303" s="2">
        <f>작업!J303</f>
        <v>5</v>
      </c>
      <c r="H303" s="2">
        <f>작업!D303</f>
        <v>1</v>
      </c>
      <c r="I303" s="2">
        <f>작업!K303</f>
        <v>1</v>
      </c>
      <c r="J303" s="2" t="str">
        <f>작업!L303</f>
        <v>https://ebsi.co.kr/ebs/lms/player/retrieveLmsPlayerHtml5Simple.ebs?medUrl=https://WSTR.ebsi.co.kr/M41M2401/S20240000528/S20240000528_1M4_100030058241.mp4&amp;strStartTm=187&amp;pType=2</v>
      </c>
    </row>
    <row r="304" spans="1:10" x14ac:dyDescent="0.3">
      <c r="A304" s="2" t="str">
        <f>작업!E304</f>
        <v>수학Ⅰ</v>
      </c>
      <c r="B304" s="2" t="str">
        <f>작업!F304</f>
        <v>3. 수열</v>
      </c>
      <c r="C304" s="2" t="str">
        <f>작업!G304</f>
        <v>D. 등차수열과 등비수열</v>
      </c>
      <c r="D304" s="2" t="str">
        <f>작업!H304</f>
        <v>등비수열</v>
      </c>
      <c r="E304" s="2" t="str">
        <f>작업!C304&amp;"("&amp;VLOOKUP(작업!D304,작업!$N$2:$O$6,2,0)&amp;")"</f>
        <v>20250903(♥)</v>
      </c>
      <c r="F304" s="2" t="str">
        <f>작업!I304</f>
        <v>mun/20250903.png</v>
      </c>
      <c r="G304" s="2">
        <f>작업!J304</f>
        <v>4</v>
      </c>
      <c r="H304" s="2">
        <f>작업!D304</f>
        <v>1</v>
      </c>
      <c r="I304" s="2">
        <f>작업!K304</f>
        <v>1</v>
      </c>
      <c r="J304" s="2" t="str">
        <f>작업!L304</f>
        <v>https://ebsi.co.kr/ebs/lms/player/retrieveLmsPlayerHtml5Simple.ebs?medUrl=https://WSTR.ebsi.co.kr/M41M2401/S20240000528/S20240000528_1M4_100030058240.mp4&amp;strStartTm=220&amp;pType=2</v>
      </c>
    </row>
    <row r="305" spans="1:10" x14ac:dyDescent="0.3">
      <c r="A305" s="2" t="str">
        <f>작업!E305</f>
        <v>수학Ⅱ</v>
      </c>
      <c r="B305" s="2" t="str">
        <f>작업!F305</f>
        <v>1. 함수의 극한과 연속</v>
      </c>
      <c r="C305" s="2" t="str">
        <f>작업!G305</f>
        <v>G. 함수의 극한</v>
      </c>
      <c r="D305" s="2" t="str">
        <f>작업!H305</f>
        <v>함수의 극한</v>
      </c>
      <c r="E305" s="2" t="str">
        <f>작업!C305&amp;"("&amp;VLOOKUP(작업!D305,작업!$N$2:$O$6,2,0)&amp;")"</f>
        <v>20250904(♥♥)</v>
      </c>
      <c r="F305" s="2" t="str">
        <f>작업!I305</f>
        <v>mun/20250904.png</v>
      </c>
      <c r="G305" s="2">
        <f>작업!J305</f>
        <v>2</v>
      </c>
      <c r="H305" s="2">
        <f>작업!D305</f>
        <v>2</v>
      </c>
      <c r="I305" s="2">
        <f>작업!K305</f>
        <v>1</v>
      </c>
      <c r="J305" s="2" t="str">
        <f>작업!L305</f>
        <v>https://ebsi.co.kr/ebs/lms/player/retrieveLmsPlayerHtml5Simple.ebs?medUrl=https://WSTR.ebsi.co.kr/M41M2401/S20240000528/S20240000528_1M4_100030058241.mp4&amp;strStartTm=418&amp;pType=2</v>
      </c>
    </row>
    <row r="306" spans="1:10" x14ac:dyDescent="0.3">
      <c r="A306" s="2" t="str">
        <f>작업!E306</f>
        <v>수학Ⅱ</v>
      </c>
      <c r="B306" s="2" t="str">
        <f>작업!F306</f>
        <v>2. 미분</v>
      </c>
      <c r="C306" s="2" t="str">
        <f>작업!G306</f>
        <v>I. 도함수</v>
      </c>
      <c r="D306" s="2" t="str">
        <f>작업!H306</f>
        <v>곱함수의 미분법</v>
      </c>
      <c r="E306" s="2" t="str">
        <f>작업!C306&amp;"("&amp;VLOOKUP(작업!D306,작업!$N$2:$O$6,2,0)&amp;")"</f>
        <v>20250905(♥♥)</v>
      </c>
      <c r="F306" s="2" t="str">
        <f>작업!I306</f>
        <v>mun/20250905.png</v>
      </c>
      <c r="G306" s="2">
        <f>작업!J306</f>
        <v>2</v>
      </c>
      <c r="H306" s="2">
        <f>작업!D306</f>
        <v>2</v>
      </c>
      <c r="I306" s="2">
        <f>작업!K306</f>
        <v>1</v>
      </c>
      <c r="J306" s="2" t="str">
        <f>작업!L306</f>
        <v>https://ebsi.co.kr/ebs/lms/player/retrieveLmsPlayerHtml5Simple.ebs?medUrl=https://WSTR.ebsi.co.kr/M41M2401/S20240000528/S20240000528_1M4_100030058241.mp4&amp;strStartTm=498&amp;pType=2</v>
      </c>
    </row>
    <row r="307" spans="1:10" x14ac:dyDescent="0.3">
      <c r="A307" s="2" t="str">
        <f>작업!E307</f>
        <v>수학Ⅰ</v>
      </c>
      <c r="B307" s="2" t="str">
        <f>작업!F307</f>
        <v>2. 삼각함수</v>
      </c>
      <c r="C307" s="2" t="str">
        <f>작업!G307</f>
        <v>C. 삼각함수</v>
      </c>
      <c r="D307" s="2" t="str">
        <f>작업!H307</f>
        <v>삼각함수의 값</v>
      </c>
      <c r="E307" s="2" t="str">
        <f>작업!C307&amp;"("&amp;VLOOKUP(작업!D307,작업!$N$2:$O$6,2,0)&amp;")"</f>
        <v>20250906(♥♥)</v>
      </c>
      <c r="F307" s="2" t="str">
        <f>작업!I307</f>
        <v>mun/20250906.png</v>
      </c>
      <c r="G307" s="2">
        <f>작업!J307</f>
        <v>2</v>
      </c>
      <c r="H307" s="2">
        <f>작업!D307</f>
        <v>2</v>
      </c>
      <c r="I307" s="2">
        <f>작업!K307</f>
        <v>1</v>
      </c>
      <c r="J307" s="2" t="str">
        <f>작업!L307</f>
        <v>https://ebsi.co.kr/ebs/lms/player/retrieveLmsPlayerHtml5Simple.ebs?medUrl=https://WSTR.ebsi.co.kr/M41M2401/S20240000528/S20240000528_1M4_100030058240.mp4&amp;strStartTm=407&amp;pType=2</v>
      </c>
    </row>
    <row r="308" spans="1:10" x14ac:dyDescent="0.3">
      <c r="A308" s="2" t="str">
        <f>작업!E308</f>
        <v>수학Ⅱ</v>
      </c>
      <c r="B308" s="2" t="str">
        <f>작업!F308</f>
        <v>1. 함수의 극한과 연속</v>
      </c>
      <c r="C308" s="2" t="str">
        <f>작업!G308</f>
        <v>H. 함수의 연속</v>
      </c>
      <c r="D308" s="2" t="str">
        <f>작업!H308</f>
        <v>함수의 연속</v>
      </c>
      <c r="E308" s="2" t="str">
        <f>작업!C308&amp;"("&amp;VLOOKUP(작업!D308,작업!$N$2:$O$6,2,0)&amp;")"</f>
        <v>20250907(♥♥)</v>
      </c>
      <c r="F308" s="2" t="str">
        <f>작업!I308</f>
        <v>mun/20250907.png</v>
      </c>
      <c r="G308" s="2">
        <f>작업!J308</f>
        <v>3</v>
      </c>
      <c r="H308" s="2">
        <f>작업!D308</f>
        <v>2</v>
      </c>
      <c r="I308" s="2">
        <f>작업!K308</f>
        <v>1</v>
      </c>
      <c r="J308" s="2" t="str">
        <f>작업!L308</f>
        <v>https://ebsi.co.kr/ebs/lms/player/retrieveLmsPlayerHtml5Simple.ebs?medUrl=https://WSTR.ebsi.co.kr/M41M2401/S20240000528/S20240000528_1M4_100030058241.mp4&amp;strStartTm=582&amp;pType=2</v>
      </c>
    </row>
    <row r="309" spans="1:10" x14ac:dyDescent="0.3">
      <c r="A309" s="2" t="str">
        <f>작업!E309</f>
        <v>수학Ⅰ</v>
      </c>
      <c r="B309" s="2" t="str">
        <f>작업!F309</f>
        <v>1. 지수함수와 로그함수</v>
      </c>
      <c r="C309" s="2" t="str">
        <f>작업!G309</f>
        <v>A. 지수와 로그</v>
      </c>
      <c r="D309" s="2" t="str">
        <f>작업!H309</f>
        <v>로그의 연산</v>
      </c>
      <c r="E309" s="2" t="str">
        <f>작업!C309&amp;"("&amp;VLOOKUP(작업!D309,작업!$N$2:$O$6,2,0)&amp;")"</f>
        <v>20250908(♥♥)</v>
      </c>
      <c r="F309" s="2" t="str">
        <f>작업!I309</f>
        <v>mun/20250908.png</v>
      </c>
      <c r="G309" s="2">
        <f>작업!J309</f>
        <v>1</v>
      </c>
      <c r="H309" s="2">
        <f>작업!D309</f>
        <v>2</v>
      </c>
      <c r="I309" s="2">
        <f>작업!K309</f>
        <v>1</v>
      </c>
      <c r="J309" s="2" t="str">
        <f>작업!L309</f>
        <v>https://ebsi.co.kr/ebs/lms/player/retrieveLmsPlayerHtml5Simple.ebs?medUrl=https://WSTR.ebsi.co.kr/M41M2401/S20240000528/S20240000528_1M4_100030058240.mp4&amp;strStartTm=593&amp;pType=2</v>
      </c>
    </row>
    <row r="310" spans="1:10" x14ac:dyDescent="0.3">
      <c r="A310" s="2" t="str">
        <f>작업!E310</f>
        <v>수학Ⅱ</v>
      </c>
      <c r="B310" s="2" t="str">
        <f>작업!F310</f>
        <v>3. 적분</v>
      </c>
      <c r="C310" s="2" t="str">
        <f>작업!G310</f>
        <v>L. 정적분</v>
      </c>
      <c r="D310" s="2" t="str">
        <f>작업!H310</f>
        <v>정적분</v>
      </c>
      <c r="E310" s="2" t="str">
        <f>작업!C310&amp;"("&amp;VLOOKUP(작업!D310,작업!$N$2:$O$6,2,0)&amp;")"</f>
        <v>20250909(♥♥♥)</v>
      </c>
      <c r="F310" s="2" t="str">
        <f>작업!I310</f>
        <v>mun/20250909.png</v>
      </c>
      <c r="G310" s="2">
        <f>작업!J310</f>
        <v>5</v>
      </c>
      <c r="H310" s="2">
        <f>작업!D310</f>
        <v>3</v>
      </c>
      <c r="I310" s="2">
        <f>작업!K310</f>
        <v>1</v>
      </c>
      <c r="J310" s="2" t="str">
        <f>작업!L310</f>
        <v>https://ebsi.co.kr/ebs/lms/player/retrieveLmsPlayerHtml5Simple.ebs?medUrl=https://WSTR.ebsi.co.kr/M41M2401/S20240000528/S20240000528_1M4_100030058241.mp4&amp;strStartTm=801&amp;pType=2</v>
      </c>
    </row>
    <row r="311" spans="1:10" x14ac:dyDescent="0.3">
      <c r="A311" s="2" t="str">
        <f>작업!E311</f>
        <v>수학Ⅰ</v>
      </c>
      <c r="B311" s="2" t="str">
        <f>작업!F311</f>
        <v>2. 삼각함수</v>
      </c>
      <c r="C311" s="2" t="str">
        <f>작업!G311</f>
        <v>C. 삼각함수</v>
      </c>
      <c r="D311" s="2" t="str">
        <f>작업!H311</f>
        <v>사인법칙과 코사인법칙</v>
      </c>
      <c r="E311" s="2" t="str">
        <f>작업!C311&amp;"("&amp;VLOOKUP(작업!D311,작업!$N$2:$O$6,2,0)&amp;")"</f>
        <v>20250910(♥♥♥)</v>
      </c>
      <c r="F311" s="2" t="str">
        <f>작업!I311</f>
        <v>mun/20250910.png</v>
      </c>
      <c r="G311" s="2">
        <f>작업!J311</f>
        <v>1</v>
      </c>
      <c r="H311" s="2">
        <f>작업!D311</f>
        <v>3</v>
      </c>
      <c r="I311" s="2">
        <f>작업!K311</f>
        <v>1</v>
      </c>
      <c r="J311" s="2" t="str">
        <f>작업!L311</f>
        <v>https://ebsi.co.kr/ebs/lms/player/retrieveLmsPlayerHtml5Simple.ebs?medUrl=https://WSTR.ebsi.co.kr/M41M2401/S20240000528/S20240000528_1M4_100030058240.mp4&amp;strStartTm=790&amp;pType=2</v>
      </c>
    </row>
    <row r="312" spans="1:10" x14ac:dyDescent="0.3">
      <c r="A312" s="2" t="str">
        <f>작업!E312</f>
        <v>수학Ⅱ</v>
      </c>
      <c r="B312" s="2" t="str">
        <f>작업!F312</f>
        <v>2. 미분</v>
      </c>
      <c r="C312" s="2" t="str">
        <f>작업!G312</f>
        <v>J. 도함수의 활용</v>
      </c>
      <c r="D312" s="2" t="str">
        <f>작업!H312</f>
        <v>속도와 가속도</v>
      </c>
      <c r="E312" s="2" t="str">
        <f>작업!C312&amp;"("&amp;VLOOKUP(작업!D312,작업!$N$2:$O$6,2,0)&amp;")"</f>
        <v>20250911(♥♥♥)</v>
      </c>
      <c r="F312" s="2" t="str">
        <f>작업!I312</f>
        <v>mun/20250911.png</v>
      </c>
      <c r="G312" s="2">
        <f>작업!J312</f>
        <v>1</v>
      </c>
      <c r="H312" s="2">
        <f>작업!D312</f>
        <v>3</v>
      </c>
      <c r="I312" s="2">
        <f>작업!K312</f>
        <v>1</v>
      </c>
      <c r="J312" s="2" t="str">
        <f>작업!L312</f>
        <v>https://ebsi.co.kr/ebs/lms/player/retrieveLmsPlayerHtml5Simple.ebs?medUrl=https://WSTR.ebsi.co.kr/M41M2401/S20240000528/S20240000528_1M4_100030058241.mp4&amp;strStartTm=970&amp;pType=2</v>
      </c>
    </row>
    <row r="313" spans="1:10" x14ac:dyDescent="0.3">
      <c r="A313" s="2" t="str">
        <f>작업!E313</f>
        <v>수학Ⅰ</v>
      </c>
      <c r="B313" s="2" t="str">
        <f>작업!F313</f>
        <v>3. 수열</v>
      </c>
      <c r="C313" s="2" t="str">
        <f>작업!G313</f>
        <v>E. 수열의 합</v>
      </c>
      <c r="D313" s="2" t="str">
        <f>작업!H313</f>
        <v>여러 가지 수열의 합</v>
      </c>
      <c r="E313" s="2" t="str">
        <f>작업!C313&amp;"("&amp;VLOOKUP(작업!D313,작업!$N$2:$O$6,2,0)&amp;")"</f>
        <v>20250912(♥♥♥♥)</v>
      </c>
      <c r="F313" s="2" t="str">
        <f>작업!I313</f>
        <v>mun/20250912.png</v>
      </c>
      <c r="G313" s="2">
        <f>작업!J313</f>
        <v>2</v>
      </c>
      <c r="H313" s="2">
        <f>작업!D313</f>
        <v>4</v>
      </c>
      <c r="I313" s="2">
        <f>작업!K313</f>
        <v>1</v>
      </c>
      <c r="J313" s="2" t="str">
        <f>작업!L313</f>
        <v>https://ebsi.co.kr/ebs/lms/player/retrieveLmsPlayerHtml5Simple.ebs?medUrl=https://WSTR.ebsi.co.kr/M41M2401/S20240000528/S20240000528_1M4_100030058240.mp4&amp;strStartTm=1229&amp;pType=2</v>
      </c>
    </row>
    <row r="314" spans="1:10" x14ac:dyDescent="0.3">
      <c r="A314" s="2" t="str">
        <f>작업!E314</f>
        <v>수학Ⅱ</v>
      </c>
      <c r="B314" s="2" t="str">
        <f>작업!F314</f>
        <v>3. 적분</v>
      </c>
      <c r="C314" s="2" t="str">
        <f>작업!G314</f>
        <v>L. 정적분</v>
      </c>
      <c r="D314" s="2" t="str">
        <f>작업!H314</f>
        <v>곡선 사이의 넓이</v>
      </c>
      <c r="E314" s="2" t="str">
        <f>작업!C314&amp;"("&amp;VLOOKUP(작업!D314,작업!$N$2:$O$6,2,0)&amp;")"</f>
        <v>20250913(♥♥♥♥)</v>
      </c>
      <c r="F314" s="2" t="str">
        <f>작업!I314</f>
        <v>mun/20250913.png</v>
      </c>
      <c r="G314" s="2">
        <f>작업!J314</f>
        <v>4</v>
      </c>
      <c r="H314" s="2">
        <f>작업!D314</f>
        <v>4</v>
      </c>
      <c r="I314" s="2">
        <f>작업!K314</f>
        <v>1</v>
      </c>
      <c r="J314" s="2" t="str">
        <f>작업!L314</f>
        <v>https://ebsi.co.kr/ebs/lms/player/retrieveLmsPlayerHtml5Simple.ebs?medUrl=https://WSTR.ebsi.co.kr/M41M2401/S20240000528/S20240000528_1M4_100030058241.mp4&amp;strStartTm=1400&amp;pType=2</v>
      </c>
    </row>
    <row r="315" spans="1:10" x14ac:dyDescent="0.3">
      <c r="A315" s="2" t="str">
        <f>작업!E315</f>
        <v>수학Ⅰ</v>
      </c>
      <c r="B315" s="2" t="str">
        <f>작업!F315</f>
        <v>1. 지수함수와 로그함수</v>
      </c>
      <c r="C315" s="2" t="str">
        <f>작업!G315</f>
        <v>B. 지수함수와 로그함수</v>
      </c>
      <c r="D315" s="2" t="str">
        <f>작업!H315</f>
        <v>그래프에서 도형의 성질</v>
      </c>
      <c r="E315" s="2" t="str">
        <f>작업!C315&amp;"("&amp;VLOOKUP(작업!D315,작업!$N$2:$O$6,2,0)&amp;")"</f>
        <v>20250914(♥♥♥♥)</v>
      </c>
      <c r="F315" s="2" t="str">
        <f>작업!I315</f>
        <v>mun/20250914.png</v>
      </c>
      <c r="G315" s="2">
        <f>작업!J315</f>
        <v>5</v>
      </c>
      <c r="H315" s="2">
        <f>작업!D315</f>
        <v>4</v>
      </c>
      <c r="I315" s="2">
        <f>작업!K315</f>
        <v>1</v>
      </c>
      <c r="J315" s="2" t="str">
        <f>작업!L315</f>
        <v>https://ebsi.co.kr/ebs/lms/player/retrieveLmsPlayerHtml5Simple.ebs?medUrl=https://WSTR.ebsi.co.kr/M41M2401/S20240000528/S20240000528_1M4_100030058240.mp4&amp;strStartTm=1703&amp;pType=2</v>
      </c>
    </row>
    <row r="316" spans="1:10" x14ac:dyDescent="0.3">
      <c r="A316" s="2" t="str">
        <f>작업!E316</f>
        <v>수학Ⅱ</v>
      </c>
      <c r="B316" s="2" t="str">
        <f>작업!F316</f>
        <v>3. 적분</v>
      </c>
      <c r="C316" s="2" t="str">
        <f>작업!G316</f>
        <v>L. 정적분</v>
      </c>
      <c r="D316" s="2" t="str">
        <f>작업!H316</f>
        <v>미적분학의 기본 정리</v>
      </c>
      <c r="E316" s="2" t="str">
        <f>작업!C316&amp;"("&amp;VLOOKUP(작업!D316,작업!$N$2:$O$6,2,0)&amp;")"</f>
        <v>20250915(♥♥♥♥♥)</v>
      </c>
      <c r="F316" s="2" t="str">
        <f>작업!I316</f>
        <v>mun/20250915.png</v>
      </c>
      <c r="G316" s="2">
        <f>작업!J316</f>
        <v>1</v>
      </c>
      <c r="H316" s="2">
        <f>작업!D316</f>
        <v>5</v>
      </c>
      <c r="I316" s="2">
        <f>작업!K316</f>
        <v>1</v>
      </c>
      <c r="J316" s="2" t="str">
        <f>작업!L316</f>
        <v>https://ebsi.co.kr/ebs/lms/player/retrieveLmsPlayerHtml5Simple.ebs?medUrl=https://WSTR.ebsi.co.kr/M41M2401/S20240000528/S20240000528_1M4_100030058241.mp4&amp;strStartTm=1831&amp;pType=2</v>
      </c>
    </row>
    <row r="317" spans="1:10" x14ac:dyDescent="0.3">
      <c r="A317" s="2" t="str">
        <f>작업!E317</f>
        <v>수학Ⅰ</v>
      </c>
      <c r="B317" s="2" t="str">
        <f>작업!F317</f>
        <v>1. 지수함수와 로그함수</v>
      </c>
      <c r="C317" s="2" t="str">
        <f>작업!G317</f>
        <v>B. 지수함수와 로그함수</v>
      </c>
      <c r="D317" s="2" t="str">
        <f>작업!H317</f>
        <v>방정식과 부등식에의 활용</v>
      </c>
      <c r="E317" s="2" t="str">
        <f>작업!C317&amp;"("&amp;VLOOKUP(작업!D317,작업!$N$2:$O$6,2,0)&amp;")"</f>
        <v>20250916(♥)</v>
      </c>
      <c r="F317" s="2" t="str">
        <f>작업!I317</f>
        <v>mun/20250916.png</v>
      </c>
      <c r="G317" s="2">
        <f>작업!J317</f>
        <v>7</v>
      </c>
      <c r="H317" s="2">
        <f>작업!D317</f>
        <v>1</v>
      </c>
      <c r="I317" s="2">
        <f>작업!K317</f>
        <v>1</v>
      </c>
      <c r="J317" s="2" t="str">
        <f>작업!L317</f>
        <v>https://ebsi.co.kr/ebs/lms/player/retrieveLmsPlayerHtml5Simple.ebs?medUrl=https://WSTR.ebsi.co.kr/M41M2401/S20240000528/S20240000528_1M4_100030058240.mp4&amp;strStartTm=2299&amp;pType=2</v>
      </c>
    </row>
    <row r="318" spans="1:10" x14ac:dyDescent="0.3">
      <c r="A318" s="2" t="str">
        <f>작업!E318</f>
        <v>수학Ⅱ</v>
      </c>
      <c r="B318" s="2" t="str">
        <f>작업!F318</f>
        <v>3. 적분</v>
      </c>
      <c r="C318" s="2" t="str">
        <f>작업!G318</f>
        <v>K. 부정적분</v>
      </c>
      <c r="D318" s="2" t="str">
        <f>작업!H318</f>
        <v>부정적분</v>
      </c>
      <c r="E318" s="2" t="str">
        <f>작업!C318&amp;"("&amp;VLOOKUP(작업!D318,작업!$N$2:$O$6,2,0)&amp;")"</f>
        <v>20250917(♥)</v>
      </c>
      <c r="F318" s="2" t="str">
        <f>작업!I318</f>
        <v>mun/20250917.png</v>
      </c>
      <c r="G318" s="2">
        <f>작업!J318</f>
        <v>5</v>
      </c>
      <c r="H318" s="2">
        <f>작업!D318</f>
        <v>1</v>
      </c>
      <c r="I318" s="2">
        <f>작업!K318</f>
        <v>1</v>
      </c>
      <c r="J318" s="2" t="str">
        <f>작업!L318</f>
        <v>https://ebsi.co.kr/ebs/lms/player/retrieveLmsPlayerHtml5Simple.ebs?medUrl=https://WSTR.ebsi.co.kr/M41M2401/S20240000528/S20240000528_1M4_100030058241.mp4&amp;strStartTm=2517&amp;pType=2</v>
      </c>
    </row>
    <row r="319" spans="1:10" x14ac:dyDescent="0.3">
      <c r="A319" s="2" t="str">
        <f>작업!E319</f>
        <v>수학Ⅰ</v>
      </c>
      <c r="B319" s="2" t="str">
        <f>작업!F319</f>
        <v>3. 수열</v>
      </c>
      <c r="C319" s="2" t="str">
        <f>작업!G319</f>
        <v>E. 수열의 합</v>
      </c>
      <c r="D319" s="2" t="str">
        <f>작업!H319</f>
        <v>시그마의 뜻과 성질</v>
      </c>
      <c r="E319" s="2" t="str">
        <f>작업!C319&amp;"("&amp;VLOOKUP(작업!D319,작업!$N$2:$O$6,2,0)&amp;")"</f>
        <v>20250918(♥♥♥)</v>
      </c>
      <c r="F319" s="2" t="str">
        <f>작업!I319</f>
        <v>mun/20250918.png</v>
      </c>
      <c r="G319" s="2">
        <f>작업!J319</f>
        <v>29</v>
      </c>
      <c r="H319" s="2">
        <f>작업!D319</f>
        <v>3</v>
      </c>
      <c r="I319" s="2">
        <f>작업!K319</f>
        <v>1</v>
      </c>
      <c r="J319" s="2" t="str">
        <f>작업!L319</f>
        <v>https://ebsi.co.kr/ebs/lms/player/retrieveLmsPlayerHtml5Simple.ebs?medUrl=https://WSTR.ebsi.co.kr/M41M2401/S20240000528/S20240000528_1M4_100030058240.mp4&amp;strStartTm=2420&amp;pType=2</v>
      </c>
    </row>
    <row r="320" spans="1:10" x14ac:dyDescent="0.3">
      <c r="A320" s="2" t="str">
        <f>작업!E320</f>
        <v>수학Ⅱ</v>
      </c>
      <c r="B320" s="2" t="str">
        <f>작업!F320</f>
        <v>2. 미분</v>
      </c>
      <c r="C320" s="2" t="str">
        <f>작업!G320</f>
        <v>J. 도함수의 활용</v>
      </c>
      <c r="D320" s="2" t="str">
        <f>작업!H320</f>
        <v>극대와 극소</v>
      </c>
      <c r="E320" s="2" t="str">
        <f>작업!C320&amp;"("&amp;VLOOKUP(작업!D320,작업!$N$2:$O$6,2,0)&amp;")"</f>
        <v>20250919(♥♥♥)</v>
      </c>
      <c r="F320" s="2" t="str">
        <f>작업!I320</f>
        <v>mun/20250919.png</v>
      </c>
      <c r="G320" s="2">
        <f>작업!J320</f>
        <v>4</v>
      </c>
      <c r="H320" s="2">
        <f>작업!D320</f>
        <v>3</v>
      </c>
      <c r="I320" s="2">
        <f>작업!K320</f>
        <v>1</v>
      </c>
      <c r="J320" s="2" t="str">
        <f>작업!L320</f>
        <v>https://ebsi.co.kr/ebs/lms/player/retrieveLmsPlayerHtml5Simple.ebs?medUrl=https://WSTR.ebsi.co.kr/M41M2401/S20240000528/S20240000528_1M4_100030058241.mp4&amp;strStartTm=2564&amp;pType=2</v>
      </c>
    </row>
    <row r="321" spans="1:10" x14ac:dyDescent="0.3">
      <c r="A321" s="2" t="str">
        <f>작업!E321</f>
        <v>수학Ⅰ</v>
      </c>
      <c r="B321" s="2" t="str">
        <f>작업!F321</f>
        <v>2. 삼각함수</v>
      </c>
      <c r="C321" s="2" t="str">
        <f>작업!G321</f>
        <v>C. 삼각함수</v>
      </c>
      <c r="D321" s="2" t="str">
        <f>작업!H321</f>
        <v>방정식과 부등식에의 활용</v>
      </c>
      <c r="E321" s="2" t="str">
        <f>작업!C321&amp;"("&amp;VLOOKUP(작업!D321,작업!$N$2:$O$6,2,0)&amp;")"</f>
        <v>20250920(♥♥♥♥)</v>
      </c>
      <c r="F321" s="2" t="str">
        <f>작업!I321</f>
        <v>mun/20250920.png</v>
      </c>
      <c r="G321" s="2">
        <f>작업!J321</f>
        <v>15</v>
      </c>
      <c r="H321" s="2">
        <f>작업!D321</f>
        <v>4</v>
      </c>
      <c r="I321" s="2">
        <f>작업!K321</f>
        <v>1</v>
      </c>
      <c r="J321" s="2" t="str">
        <f>작업!L321</f>
        <v>https://ebsi.co.kr/ebs/lms/player/retrieveLmsPlayerHtml5Simple.ebs?medUrl=https://WSTR.ebsi.co.kr/M41M2401/S20240000528/S20240000528_1M4_100030058240.mp4&amp;strStartTm=2632&amp;pType=2</v>
      </c>
    </row>
    <row r="322" spans="1:10" x14ac:dyDescent="0.3">
      <c r="A322" s="2" t="str">
        <f>작업!E322</f>
        <v>수학Ⅱ</v>
      </c>
      <c r="B322" s="2" t="str">
        <f>작업!F322</f>
        <v>2. 미분</v>
      </c>
      <c r="C322" s="2" t="str">
        <f>작업!G322</f>
        <v>J. 도함수의 활용</v>
      </c>
      <c r="D322" s="2" t="str">
        <f>작업!H322</f>
        <v>함수의 추론</v>
      </c>
      <c r="E322" s="2" t="str">
        <f>작업!C322&amp;"("&amp;VLOOKUP(작업!D322,작업!$N$2:$O$6,2,0)&amp;")"</f>
        <v>20250921(♥♥♥♥)</v>
      </c>
      <c r="F322" s="2" t="str">
        <f>작업!I322</f>
        <v>mun/20250921.png</v>
      </c>
      <c r="G322" s="2">
        <f>작업!J322</f>
        <v>31</v>
      </c>
      <c r="H322" s="2">
        <f>작업!D322</f>
        <v>4</v>
      </c>
      <c r="I322" s="2">
        <f>작업!K322</f>
        <v>1</v>
      </c>
      <c r="J322" s="2" t="str">
        <f>작업!L322</f>
        <v>https://ebsi.co.kr/ebs/lms/player/retrieveLmsPlayerHtml5Simple.ebs?medUrl=https://WSTR.ebsi.co.kr/M41M2401/S20240000528/S20240000528_1M4_100030058241.mp4&amp;strStartTm=2800&amp;pType=2</v>
      </c>
    </row>
    <row r="323" spans="1:10" x14ac:dyDescent="0.3">
      <c r="A323" s="2" t="str">
        <f>작업!E323</f>
        <v>수학Ⅰ</v>
      </c>
      <c r="B323" s="2" t="str">
        <f>작업!F323</f>
        <v>3. 수열</v>
      </c>
      <c r="C323" s="2" t="str">
        <f>작업!G323</f>
        <v>F. 수학적 귀납법</v>
      </c>
      <c r="D323" s="2" t="str">
        <f>작업!H323</f>
        <v>수열의 귀납적 정의</v>
      </c>
      <c r="E323" s="2" t="str">
        <f>작업!C323&amp;"("&amp;VLOOKUP(작업!D323,작업!$N$2:$O$6,2,0)&amp;")"</f>
        <v>20250922(♥♥♥♥♥)</v>
      </c>
      <c r="F323" s="2" t="str">
        <f>작업!I323</f>
        <v>mun/20250922.png</v>
      </c>
      <c r="G323" s="2">
        <f>작업!J323</f>
        <v>8</v>
      </c>
      <c r="H323" s="2">
        <f>작업!D323</f>
        <v>5</v>
      </c>
      <c r="I323" s="2">
        <f>작업!K323</f>
        <v>1</v>
      </c>
      <c r="J323" s="2" t="str">
        <f>작업!L323</f>
        <v>https://ebsi.co.kr/ebs/lms/player/retrieveLmsPlayerHtml5Simple.ebs?medUrl=https://WSTR.ebsi.co.kr/M41M2401/S20240000528/S20240000528_1M4_100030058240.mp4&amp;strStartTm=2921&amp;pType=2</v>
      </c>
    </row>
    <row r="324" spans="1:10" x14ac:dyDescent="0.3">
      <c r="A324" s="2" t="str">
        <f>작업!E324</f>
        <v>확률과 통계</v>
      </c>
      <c r="B324" s="2" t="str">
        <f>작업!F324</f>
        <v>1. 경우의 수</v>
      </c>
      <c r="C324" s="2" t="str">
        <f>작업!G324</f>
        <v>M. 여러 가지 순열과 중복 조합</v>
      </c>
      <c r="D324" s="2" t="str">
        <f>작업!H324</f>
        <v>같은 것이 있는 순열</v>
      </c>
      <c r="E324" s="2" t="str">
        <f>작업!C324&amp;"("&amp;VLOOKUP(작업!D324,작업!$N$2:$O$6,2,0)&amp;")"</f>
        <v>20250923(♥)</v>
      </c>
      <c r="F324" s="2" t="str">
        <f>작업!I324</f>
        <v>mun/20250923.png</v>
      </c>
      <c r="G324" s="2">
        <f>작업!J324</f>
        <v>5</v>
      </c>
      <c r="H324" s="2">
        <f>작업!D324</f>
        <v>1</v>
      </c>
      <c r="I324" s="2">
        <f>작업!K324</f>
        <v>1</v>
      </c>
      <c r="J324" s="2" t="str">
        <f>작업!L324</f>
        <v>https://ebsi.co.kr/ebs/lms/player/retrieveLmsPlayerHtml5Simple.ebs?medUrl=https://WSTR.ebsi.co.kr/M41M2401/S20240000528/S20240000528_1M4_100030058242.mp4&amp;strStartTm=348&amp;pType=2</v>
      </c>
    </row>
    <row r="325" spans="1:10" x14ac:dyDescent="0.3">
      <c r="A325" s="2" t="str">
        <f>작업!E325</f>
        <v>확률과 통계</v>
      </c>
      <c r="B325" s="2" t="str">
        <f>작업!F325</f>
        <v>3. 통계</v>
      </c>
      <c r="C325" s="2" t="str">
        <f>작업!G325</f>
        <v>Q. 확률분포</v>
      </c>
      <c r="D325" s="2" t="str">
        <f>작업!H325</f>
        <v>정규분포</v>
      </c>
      <c r="E325" s="2" t="str">
        <f>작업!C325&amp;"("&amp;VLOOKUP(작업!D325,작업!$N$2:$O$6,2,0)&amp;")"</f>
        <v>20240926(♥♥)</v>
      </c>
      <c r="F325" s="2" t="str">
        <f>작업!I325</f>
        <v>mun/20240926.png</v>
      </c>
      <c r="G325" s="2">
        <f>작업!J325</f>
        <v>2</v>
      </c>
      <c r="H325" s="2">
        <f>작업!D325</f>
        <v>2</v>
      </c>
      <c r="I325" s="2">
        <f>작업!K325</f>
        <v>1</v>
      </c>
      <c r="J325" s="2" t="str">
        <f>작업!L325</f>
        <v>https://ebsi.co.kr/ebs/lms/player/retrieveLmsPlayerHtml5Simple.ebs?medUrl=https://WSTR.ebsi.co.kr/M41M2301/S20230000491/S20230000491_1M4_100030043587.mp4&amp;strStartTm=789&amp;pType=2</v>
      </c>
    </row>
    <row r="326" spans="1:10" x14ac:dyDescent="0.3">
      <c r="A326" s="2" t="str">
        <f>작업!E326</f>
        <v>확률과 통계</v>
      </c>
      <c r="B326" s="2" t="str">
        <f>작업!F326</f>
        <v>3. 통계</v>
      </c>
      <c r="C326" s="2" t="str">
        <f>작업!G326</f>
        <v>Q. 확률분포</v>
      </c>
      <c r="D326" s="2" t="str">
        <f>작업!H326</f>
        <v>정규분포</v>
      </c>
      <c r="E326" s="2" t="str">
        <f>작업!C326&amp;"("&amp;VLOOKUP(작업!D326,작업!$N$2:$O$6,2,0)&amp;")"</f>
        <v>20241130(♥♥♥♥)</v>
      </c>
      <c r="F326" s="2" t="str">
        <f>작업!I326</f>
        <v>mun/20241130.png</v>
      </c>
      <c r="G326" s="2">
        <f>작업!J326</f>
        <v>673</v>
      </c>
      <c r="H326" s="2">
        <f>작업!D326</f>
        <v>4</v>
      </c>
      <c r="I326" s="2">
        <f>작업!K326</f>
        <v>1</v>
      </c>
      <c r="J326" s="2" t="str">
        <f>작업!L326</f>
        <v>https://ebsi.co.kr/ebs/lms/player/retrieveLmsPlayerHtml5Simple.ebs?medUrl=https://WSTR.ebsi.co.kr/M41M2301/S20230000616/S20230000616_1M4_100030044876.mp4&amp;strStartTm=2444&amp;pType=2</v>
      </c>
    </row>
    <row r="327" spans="1:10" x14ac:dyDescent="0.3">
      <c r="A327" s="2" t="str">
        <f>작업!E327</f>
        <v>확률과 통계</v>
      </c>
      <c r="B327" s="2" t="str">
        <f>작업!F327</f>
        <v>3. 통계</v>
      </c>
      <c r="C327" s="2" t="str">
        <f>작업!G327</f>
        <v>Q. 확률분포</v>
      </c>
      <c r="D327" s="2" t="str">
        <f>작업!H327</f>
        <v>정규분포</v>
      </c>
      <c r="E327" s="2" t="str">
        <f>작업!C327&amp;"("&amp;VLOOKUP(작업!D327,작업!$N$2:$O$6,2,0)&amp;")"</f>
        <v>20251129(♥♥♥♥)</v>
      </c>
      <c r="F327" s="2" t="str">
        <f>작업!I327</f>
        <v>mun/20251129.png</v>
      </c>
      <c r="G327" s="2">
        <f>작업!J327</f>
        <v>25</v>
      </c>
      <c r="H327" s="2">
        <f>작업!D327</f>
        <v>4</v>
      </c>
      <c r="I327" s="2">
        <f>작업!K327</f>
        <v>1</v>
      </c>
      <c r="J327" s="2" t="str">
        <f>작업!L327</f>
        <v>https://ebsi.co.kr/ebs/lms/player/retrieveLmsPlayerHtml5Simple.ebs?medUrl=https://WSTR.ebsi.co.kr/M41M2401/S20240000737/S20240000737_1M4_100030059809.mp4&amp;strStartTm=1700&amp;pType=2</v>
      </c>
    </row>
    <row r="328" spans="1:10" x14ac:dyDescent="0.3">
      <c r="A328" s="2" t="str">
        <f>작업!E328</f>
        <v>확률과 통계</v>
      </c>
      <c r="B328" s="2" t="str">
        <f>작업!F328</f>
        <v>3. 통계</v>
      </c>
      <c r="C328" s="2" t="str">
        <f>작업!G328</f>
        <v>R. 통계적 추정</v>
      </c>
      <c r="D328" s="2" t="str">
        <f>작업!H328</f>
        <v>모평균의 추정</v>
      </c>
      <c r="E328" s="2" t="str">
        <f>작업!C328&amp;"("&amp;VLOOKUP(작업!D328,작업!$N$2:$O$6,2,0)&amp;")"</f>
        <v>20221127(♥♥♥)</v>
      </c>
      <c r="F328" s="2" t="str">
        <f>작업!I328</f>
        <v>mun/20221127.png</v>
      </c>
      <c r="G328" s="2">
        <f>작업!J328</f>
        <v>2</v>
      </c>
      <c r="H328" s="2">
        <f>작업!D328</f>
        <v>3</v>
      </c>
      <c r="I328" s="2">
        <f>작업!K328</f>
        <v>1</v>
      </c>
      <c r="J328" s="2" t="str">
        <f>작업!L328</f>
        <v>https://ebsi.co.kr/ebs/lms/player/retrieveLmsPlayerHtml5Simple.ebs?medUrl=https://WSTR.ebsi.co.kr/M41M2101/S20210001189/S20210001189_1M4_100030011708.mp4&amp;strStartTm=1404&amp;pType=2</v>
      </c>
    </row>
    <row r="329" spans="1:10" x14ac:dyDescent="0.3">
      <c r="A329" s="2" t="str">
        <f>작업!E329</f>
        <v>확률과 통계</v>
      </c>
      <c r="B329" s="2" t="str">
        <f>작업!F329</f>
        <v>3. 통계</v>
      </c>
      <c r="C329" s="2" t="str">
        <f>작업!G329</f>
        <v>R. 통계적 추정</v>
      </c>
      <c r="D329" s="2" t="str">
        <f>작업!H329</f>
        <v>모평균의 추정</v>
      </c>
      <c r="E329" s="2" t="str">
        <f>작업!C329&amp;"("&amp;VLOOKUP(작업!D329,작업!$N$2:$O$6,2,0)&amp;")"</f>
        <v>20231127(♥♥♥)</v>
      </c>
      <c r="F329" s="2" t="str">
        <f>작업!I329</f>
        <v>mun/20231127.png</v>
      </c>
      <c r="G329" s="2">
        <f>작업!J329</f>
        <v>2</v>
      </c>
      <c r="H329" s="2">
        <f>작업!D329</f>
        <v>3</v>
      </c>
      <c r="I329" s="2">
        <f>작업!K329</f>
        <v>1</v>
      </c>
      <c r="J329" s="2" t="str">
        <f>작업!L329</f>
        <v>https://ebsi.co.kr/ebs/lms/player/retrieveLmsPlayerHtml5Simple.ebs?medUrl=https://WSTR.ebsi.co.kr/M41M2201/S20220000620/S20220000620_1M4_100030028822.mp4&amp;strStartTm=1180&amp;pType=2</v>
      </c>
    </row>
    <row r="330" spans="1:10" x14ac:dyDescent="0.3">
      <c r="A330" s="2" t="str">
        <f>작업!E330</f>
        <v>확률과 통계</v>
      </c>
      <c r="B330" s="2" t="str">
        <f>작업!F330</f>
        <v>3. 통계</v>
      </c>
      <c r="C330" s="2" t="str">
        <f>작업!G330</f>
        <v>R. 통계적 추정</v>
      </c>
      <c r="D330" s="2" t="str">
        <f>작업!H330</f>
        <v>모평균의 추정</v>
      </c>
      <c r="E330" s="2" t="str">
        <f>작업!C330&amp;"("&amp;VLOOKUP(작업!D330,작업!$N$2:$O$6,2,0)&amp;")"</f>
        <v>20241127(♥♥♥)</v>
      </c>
      <c r="F330" s="2" t="str">
        <f>작업!I330</f>
        <v>mun/20241127.png</v>
      </c>
      <c r="G330" s="2">
        <f>작업!J330</f>
        <v>2</v>
      </c>
      <c r="H330" s="2">
        <f>작업!D330</f>
        <v>3</v>
      </c>
      <c r="I330" s="2">
        <f>작업!K330</f>
        <v>1</v>
      </c>
      <c r="J330" s="2" t="str">
        <f>작업!L330</f>
        <v>https://ebsi.co.kr/ebs/lms/player/retrieveLmsPlayerHtml5Simple.ebs?medUrl=https://WSTR.ebsi.co.kr/M41M2301/S20230000616/S20230000616_1M4_100030044876.mp4&amp;strStartTm=1098&amp;pType=2</v>
      </c>
    </row>
    <row r="331" spans="1:10" x14ac:dyDescent="0.3">
      <c r="A331" s="2" t="str">
        <f>작업!E331</f>
        <v>확률과 통계</v>
      </c>
      <c r="B331" s="2" t="str">
        <f>작업!F331</f>
        <v>1. 경우의 수</v>
      </c>
      <c r="C331" s="2" t="str">
        <f>작업!G331</f>
        <v>M. 여러 가지 순열과 중복 조합</v>
      </c>
      <c r="D331" s="2" t="str">
        <f>작업!H331</f>
        <v>중복 조합</v>
      </c>
      <c r="E331" s="2" t="str">
        <f>작업!C331&amp;"("&amp;VLOOKUP(작업!D331,작업!$N$2:$O$6,2,0)&amp;")"</f>
        <v>20250930(♥♥♥♥♥)</v>
      </c>
      <c r="F331" s="2" t="str">
        <f>작업!I331</f>
        <v>mun/20250930.png</v>
      </c>
      <c r="G331" s="2">
        <f>작업!J331</f>
        <v>93</v>
      </c>
      <c r="H331" s="2">
        <f>작업!D331</f>
        <v>5</v>
      </c>
      <c r="I331" s="2">
        <f>작업!K331</f>
        <v>1</v>
      </c>
      <c r="J331" s="2" t="str">
        <f>작업!L331</f>
        <v>https://ebsi.co.kr/ebs/lms/player/retrieveLmsPlayerHtml5Simple.ebs?medUrl=https://WSTR.ebsi.co.kr/M41M2401/S20240000528/S20240000528_1M4_100030058242.mp4&amp;strStartTm=2280&amp;pType=2</v>
      </c>
    </row>
    <row r="332" spans="1:10" x14ac:dyDescent="0.3">
      <c r="A332" s="2" t="str">
        <f>작업!E332</f>
        <v>수학Ⅰ</v>
      </c>
      <c r="B332" s="2" t="str">
        <f>작업!F332</f>
        <v>1. 지수함수와 로그함수</v>
      </c>
      <c r="C332" s="2" t="str">
        <f>작업!G332</f>
        <v>A. 지수와 로그</v>
      </c>
      <c r="D332" s="2" t="str">
        <f>작업!H332</f>
        <v>지수의 연산</v>
      </c>
      <c r="E332" s="2" t="str">
        <f>작업!C332&amp;"("&amp;VLOOKUP(작업!D332,작업!$N$2:$O$6,2,0)&amp;")"</f>
        <v>20251101(♥)</v>
      </c>
      <c r="F332" s="2" t="str">
        <f>작업!I332</f>
        <v>mun/20251101.png</v>
      </c>
      <c r="G332" s="2">
        <f>작업!J332</f>
        <v>5</v>
      </c>
      <c r="H332" s="2">
        <f>작업!D332</f>
        <v>1</v>
      </c>
      <c r="I332" s="2">
        <f>작업!K332</f>
        <v>1</v>
      </c>
      <c r="J332" s="2" t="str">
        <f>작업!L332</f>
        <v>https://ebsi.co.kr/ebs/lms/player/retrieveLmsPlayerHtml5Simple.ebs?medUrl=https://WSTR.ebsi.co.kr/M41M2401/S20240000737/S20240000737_1M4_100030059807.mp4&amp;strStartTm=99&amp;pType=2</v>
      </c>
    </row>
    <row r="333" spans="1:10" x14ac:dyDescent="0.3">
      <c r="A333" s="2" t="str">
        <f>작업!E333</f>
        <v>수학Ⅱ</v>
      </c>
      <c r="B333" s="2" t="str">
        <f>작업!F333</f>
        <v>2. 미분</v>
      </c>
      <c r="C333" s="2" t="str">
        <f>작업!G333</f>
        <v>I. 도함수</v>
      </c>
      <c r="D333" s="2" t="str">
        <f>작업!H333</f>
        <v>미분계수와 도함수</v>
      </c>
      <c r="E333" s="2" t="str">
        <f>작업!C333&amp;"("&amp;VLOOKUP(작업!D333,작업!$N$2:$O$6,2,0)&amp;")"</f>
        <v>20251102(♥)</v>
      </c>
      <c r="F333" s="2" t="str">
        <f>작업!I333</f>
        <v>mun/20251102.png</v>
      </c>
      <c r="G333" s="2">
        <f>작업!J333</f>
        <v>4</v>
      </c>
      <c r="H333" s="2">
        <f>작업!D333</f>
        <v>1</v>
      </c>
      <c r="I333" s="2">
        <f>작업!K333</f>
        <v>1</v>
      </c>
      <c r="J333" s="2" t="str">
        <f>작업!L333</f>
        <v>https://ebsi.co.kr/ebs/lms/player/retrieveLmsPlayerHtml5Simple.ebs?medUrl=https://WSTR.ebsi.co.kr/M41M2401/S20240000737/S20240000737_1M4_100030059808.mp4&amp;strStartTm=197&amp;pType=2</v>
      </c>
    </row>
    <row r="334" spans="1:10" x14ac:dyDescent="0.3">
      <c r="A334" s="2" t="str">
        <f>작업!E334</f>
        <v>수학Ⅰ</v>
      </c>
      <c r="B334" s="2" t="str">
        <f>작업!F334</f>
        <v>3. 수열</v>
      </c>
      <c r="C334" s="2" t="str">
        <f>작업!G334</f>
        <v>D. 등차수열과 등비수열</v>
      </c>
      <c r="D334" s="2" t="str">
        <f>작업!H334</f>
        <v>등비수열</v>
      </c>
      <c r="E334" s="2" t="str">
        <f>작업!C334&amp;"("&amp;VLOOKUP(작업!D334,작업!$N$2:$O$6,2,0)&amp;")"</f>
        <v>20251103(♥)</v>
      </c>
      <c r="F334" s="2" t="str">
        <f>작업!I334</f>
        <v>mun/20251103.png</v>
      </c>
      <c r="G334" s="2">
        <f>작업!J334</f>
        <v>5</v>
      </c>
      <c r="H334" s="2">
        <f>작업!D334</f>
        <v>1</v>
      </c>
      <c r="I334" s="2">
        <f>작업!K334</f>
        <v>1</v>
      </c>
      <c r="J334" s="2" t="str">
        <f>작업!L334</f>
        <v>https://ebsi.co.kr/ebs/lms/player/retrieveLmsPlayerHtml5Simple.ebs?medUrl=https://WSTR.ebsi.co.kr/M41M2401/S20240000737/S20240000737_1M4_100030059807.mp4&amp;strStartTm=160&amp;pType=2</v>
      </c>
    </row>
    <row r="335" spans="1:10" x14ac:dyDescent="0.3">
      <c r="A335" s="2" t="str">
        <f>작업!E335</f>
        <v>수학Ⅱ</v>
      </c>
      <c r="B335" s="2" t="str">
        <f>작업!F335</f>
        <v>1. 함수의 극한과 연속</v>
      </c>
      <c r="C335" s="2" t="str">
        <f>작업!G335</f>
        <v>H. 함수의 연속</v>
      </c>
      <c r="D335" s="2" t="str">
        <f>작업!H335</f>
        <v>함수의 연속</v>
      </c>
      <c r="E335" s="2" t="str">
        <f>작업!C335&amp;"("&amp;VLOOKUP(작업!D335,작업!$N$2:$O$6,2,0)&amp;")"</f>
        <v>20251104(♥♥)</v>
      </c>
      <c r="F335" s="2" t="str">
        <f>작업!I335</f>
        <v>mun/20251104.png</v>
      </c>
      <c r="G335" s="2">
        <f>작업!J335</f>
        <v>2</v>
      </c>
      <c r="H335" s="2">
        <f>작업!D335</f>
        <v>2</v>
      </c>
      <c r="I335" s="2">
        <f>작업!K335</f>
        <v>1</v>
      </c>
      <c r="J335" s="2" t="str">
        <f>작업!L335</f>
        <v>https://ebsi.co.kr/ebs/lms/player/retrieveLmsPlayerHtml5Simple.ebs?medUrl=https://WSTR.ebsi.co.kr/M41M2401/S20240000737/S20240000737_1M4_100030059808.mp4&amp;strStartTm=245&amp;pType=2</v>
      </c>
    </row>
    <row r="336" spans="1:10" x14ac:dyDescent="0.3">
      <c r="A336" s="2" t="str">
        <f>작업!E336</f>
        <v>수학Ⅱ</v>
      </c>
      <c r="B336" s="2" t="str">
        <f>작업!F336</f>
        <v>2. 미분</v>
      </c>
      <c r="C336" s="2" t="str">
        <f>작업!G336</f>
        <v>I. 도함수</v>
      </c>
      <c r="D336" s="2" t="str">
        <f>작업!H336</f>
        <v>곱함수의 미분법</v>
      </c>
      <c r="E336" s="2" t="str">
        <f>작업!C336&amp;"("&amp;VLOOKUP(작업!D336,작업!$N$2:$O$6,2,0)&amp;")"</f>
        <v>20251105(♥♥)</v>
      </c>
      <c r="F336" s="2" t="str">
        <f>작업!I336</f>
        <v>mun/20251105.png</v>
      </c>
      <c r="G336" s="2">
        <f>작업!J336</f>
        <v>4</v>
      </c>
      <c r="H336" s="2">
        <f>작업!D336</f>
        <v>2</v>
      </c>
      <c r="I336" s="2">
        <f>작업!K336</f>
        <v>1</v>
      </c>
      <c r="J336" s="2" t="str">
        <f>작업!L336</f>
        <v>https://ebsi.co.kr/ebs/lms/player/retrieveLmsPlayerHtml5Simple.ebs?medUrl=https://WSTR.ebsi.co.kr/M41M2401/S20240000737/S20240000737_1M4_100030059808.mp4&amp;strStartTm=346&amp;pType=2</v>
      </c>
    </row>
    <row r="337" spans="1:10" x14ac:dyDescent="0.3">
      <c r="A337" s="2" t="str">
        <f>작업!E337</f>
        <v>수학Ⅰ</v>
      </c>
      <c r="B337" s="2" t="str">
        <f>작업!F337</f>
        <v>2. 삼각함수</v>
      </c>
      <c r="C337" s="2" t="str">
        <f>작업!G337</f>
        <v>C. 삼각함수</v>
      </c>
      <c r="D337" s="2" t="str">
        <f>작업!H337</f>
        <v>삼각함수의 값</v>
      </c>
      <c r="E337" s="2" t="str">
        <f>작업!C337&amp;"("&amp;VLOOKUP(작업!D337,작업!$N$2:$O$6,2,0)&amp;")"</f>
        <v>20251106(♥♥)</v>
      </c>
      <c r="F337" s="2" t="str">
        <f>작업!I337</f>
        <v>mun/20251106.png</v>
      </c>
      <c r="G337" s="2">
        <f>작업!J337</f>
        <v>5</v>
      </c>
      <c r="H337" s="2">
        <f>작업!D337</f>
        <v>2</v>
      </c>
      <c r="I337" s="2">
        <f>작업!K337</f>
        <v>1</v>
      </c>
      <c r="J337" s="2" t="str">
        <f>작업!L337</f>
        <v>https://ebsi.co.kr/ebs/lms/player/retrieveLmsPlayerHtml5Simple.ebs?medUrl=https://WSTR.ebsi.co.kr/M41M2401/S20240000737/S20240000737_1M4_100030059807.mp4&amp;strStartTm=286&amp;pType=2</v>
      </c>
    </row>
    <row r="338" spans="1:10" x14ac:dyDescent="0.3">
      <c r="A338" s="2" t="str">
        <f>작업!E338</f>
        <v>수학Ⅱ</v>
      </c>
      <c r="B338" s="2" t="str">
        <f>작업!F338</f>
        <v>3. 적분</v>
      </c>
      <c r="C338" s="2" t="str">
        <f>작업!G338</f>
        <v>L. 정적분</v>
      </c>
      <c r="D338" s="2" t="str">
        <f>작업!H338</f>
        <v>미적분학의 기본 정리</v>
      </c>
      <c r="E338" s="2" t="str">
        <f>작업!C338&amp;"("&amp;VLOOKUP(작업!D338,작업!$N$2:$O$6,2,0)&amp;")"</f>
        <v>20251107(♥♥)</v>
      </c>
      <c r="F338" s="2" t="str">
        <f>작업!I338</f>
        <v>mun/20251107.png</v>
      </c>
      <c r="G338" s="2">
        <f>작업!J338</f>
        <v>3</v>
      </c>
      <c r="H338" s="2">
        <f>작업!D338</f>
        <v>2</v>
      </c>
      <c r="I338" s="2">
        <f>작업!K338</f>
        <v>1</v>
      </c>
      <c r="J338" s="2" t="str">
        <f>작업!L338</f>
        <v>https://ebsi.co.kr/ebs/lms/player/retrieveLmsPlayerHtml5Simple.ebs?medUrl=https://WSTR.ebsi.co.kr/M41M2401/S20240000737/S20240000737_1M4_100030059808.mp4&amp;strStartTm=410&amp;pType=2</v>
      </c>
    </row>
    <row r="339" spans="1:10" x14ac:dyDescent="0.3">
      <c r="A339" s="2" t="str">
        <f>작업!E339</f>
        <v>수학Ⅰ</v>
      </c>
      <c r="B339" s="2" t="str">
        <f>작업!F339</f>
        <v>1. 지수함수와 로그함수</v>
      </c>
      <c r="C339" s="2" t="str">
        <f>작업!G339</f>
        <v>A. 지수와 로그</v>
      </c>
      <c r="D339" s="2" t="str">
        <f>작업!H339</f>
        <v>로그의 연산</v>
      </c>
      <c r="E339" s="2" t="str">
        <f>작업!C339&amp;"("&amp;VLOOKUP(작업!D339,작업!$N$2:$O$6,2,0)&amp;")"</f>
        <v>20251108(♥♥)</v>
      </c>
      <c r="F339" s="2" t="str">
        <f>작업!I339</f>
        <v>mun/20251108.png</v>
      </c>
      <c r="G339" s="2">
        <f>작업!J339</f>
        <v>1</v>
      </c>
      <c r="H339" s="2">
        <f>작업!D339</f>
        <v>2</v>
      </c>
      <c r="I339" s="2">
        <f>작업!K339</f>
        <v>1</v>
      </c>
      <c r="J339" s="2" t="str">
        <f>작업!L339</f>
        <v>https://ebsi.co.kr/ebs/lms/player/retrieveLmsPlayerHtml5Simple.ebs?medUrl=https://WSTR.ebsi.co.kr/M41M2401/S20240000737/S20240000737_1M4_100030059807.mp4&amp;strStartTm=401&amp;pType=2</v>
      </c>
    </row>
    <row r="340" spans="1:10" x14ac:dyDescent="0.3">
      <c r="A340" s="2" t="str">
        <f>작업!E340</f>
        <v>수학Ⅱ</v>
      </c>
      <c r="B340" s="2" t="str">
        <f>작업!F340</f>
        <v>3. 적분</v>
      </c>
      <c r="C340" s="2" t="str">
        <f>작업!G340</f>
        <v>L. 정적분</v>
      </c>
      <c r="D340" s="2" t="str">
        <f>작업!H340</f>
        <v>정적분</v>
      </c>
      <c r="E340" s="2" t="str">
        <f>작업!C340&amp;"("&amp;VLOOKUP(작업!D340,작업!$N$2:$O$6,2,0)&amp;")"</f>
        <v>20251109(♥♥♥)</v>
      </c>
      <c r="F340" s="2" t="str">
        <f>작업!I340</f>
        <v>mun/20251109.png</v>
      </c>
      <c r="G340" s="2">
        <f>작업!J340</f>
        <v>4</v>
      </c>
      <c r="H340" s="2">
        <f>작업!D340</f>
        <v>3</v>
      </c>
      <c r="I340" s="2">
        <f>작업!K340</f>
        <v>1</v>
      </c>
      <c r="J340" s="2" t="str">
        <f>작업!L340</f>
        <v>https://ebsi.co.kr/ebs/lms/player/retrieveLmsPlayerHtml5Simple.ebs?medUrl=https://WSTR.ebsi.co.kr/M41M2401/S20240000737/S20240000737_1M4_100030059808.mp4&amp;strStartTm=569&amp;pType=2</v>
      </c>
    </row>
    <row r="341" spans="1:10" x14ac:dyDescent="0.3">
      <c r="A341" s="2" t="str">
        <f>작업!E341</f>
        <v>수학Ⅰ</v>
      </c>
      <c r="B341" s="2" t="str">
        <f>작업!F341</f>
        <v>2. 삼각함수</v>
      </c>
      <c r="C341" s="2" t="str">
        <f>작업!G341</f>
        <v>C. 삼각함수</v>
      </c>
      <c r="D341" s="2" t="str">
        <f>작업!H341</f>
        <v>함수의 최대 또는 최소</v>
      </c>
      <c r="E341" s="2" t="str">
        <f>작업!C341&amp;"("&amp;VLOOKUP(작업!D341,작업!$N$2:$O$6,2,0)&amp;")"</f>
        <v>20251110(♥♥♥)</v>
      </c>
      <c r="F341" s="2" t="str">
        <f>작업!I341</f>
        <v>mun/20251110.png</v>
      </c>
      <c r="G341" s="2">
        <f>작업!J341</f>
        <v>3</v>
      </c>
      <c r="H341" s="2">
        <f>작업!D341</f>
        <v>3</v>
      </c>
      <c r="I341" s="2">
        <f>작업!K341</f>
        <v>1</v>
      </c>
      <c r="J341" s="2" t="str">
        <f>작업!L341</f>
        <v>https://ebsi.co.kr/ebs/lms/player/retrieveLmsPlayerHtml5Simple.ebs?medUrl=https://WSTR.ebsi.co.kr/M41M2401/S20240000737/S20240000737_1M4_100030059807.mp4&amp;strStartTm=636&amp;pType=2</v>
      </c>
    </row>
    <row r="342" spans="1:10" x14ac:dyDescent="0.3">
      <c r="A342" s="2" t="str">
        <f>작업!E342</f>
        <v>수학Ⅱ</v>
      </c>
      <c r="B342" s="2" t="str">
        <f>작업!F342</f>
        <v>2. 미분</v>
      </c>
      <c r="C342" s="2" t="str">
        <f>작업!G342</f>
        <v>J. 도함수의 활용</v>
      </c>
      <c r="D342" s="2" t="str">
        <f>작업!H342</f>
        <v>속도와 가속도</v>
      </c>
      <c r="E342" s="2" t="str">
        <f>작업!C342&amp;"("&amp;VLOOKUP(작업!D342,작업!$N$2:$O$6,2,0)&amp;")"</f>
        <v>20251111(♥♥♥)</v>
      </c>
      <c r="F342" s="2" t="str">
        <f>작업!I342</f>
        <v>mun/20251111.png</v>
      </c>
      <c r="G342" s="2">
        <f>작업!J342</f>
        <v>2</v>
      </c>
      <c r="H342" s="2">
        <f>작업!D342</f>
        <v>3</v>
      </c>
      <c r="I342" s="2">
        <f>작업!K342</f>
        <v>1</v>
      </c>
      <c r="J342" s="2" t="str">
        <f>작업!L342</f>
        <v>https://ebsi.co.kr/ebs/lms/player/retrieveLmsPlayerHtml5Simple.ebs?medUrl=https://WSTR.ebsi.co.kr/M41M2401/S20240000737/S20240000737_1M4_100030059808.mp4&amp;strStartTm=839&amp;pType=2</v>
      </c>
    </row>
    <row r="343" spans="1:10" x14ac:dyDescent="0.3">
      <c r="A343" s="2" t="str">
        <f>작업!E343</f>
        <v>수학Ⅰ</v>
      </c>
      <c r="B343" s="2" t="str">
        <f>작업!F343</f>
        <v>3. 수열</v>
      </c>
      <c r="C343" s="2" t="str">
        <f>작업!G343</f>
        <v>E. 수열의 합</v>
      </c>
      <c r="D343" s="2" t="str">
        <f>작업!H343</f>
        <v>수열의 합과 일반항 사이의 관계</v>
      </c>
      <c r="E343" s="2" t="str">
        <f>작업!C343&amp;"("&amp;VLOOKUP(작업!D343,작업!$N$2:$O$6,2,0)&amp;")"</f>
        <v>20251112(♥♥♥♥)</v>
      </c>
      <c r="F343" s="2" t="str">
        <f>작업!I343</f>
        <v>mun/20251112.png</v>
      </c>
      <c r="G343" s="2">
        <f>작업!J343</f>
        <v>1</v>
      </c>
      <c r="H343" s="2">
        <f>작업!D343</f>
        <v>4</v>
      </c>
      <c r="I343" s="2">
        <f>작업!K343</f>
        <v>1</v>
      </c>
      <c r="J343" s="2" t="str">
        <f>작업!L343</f>
        <v>https://ebsi.co.kr/ebs/lms/player/retrieveLmsPlayerHtml5Simple.ebs?medUrl=https://WSTR.ebsi.co.kr/M41M2401/S20240000737/S20240000737_1M4_100030059807.mp4&amp;strStartTm=1005&amp;pType=2</v>
      </c>
    </row>
    <row r="344" spans="1:10" x14ac:dyDescent="0.3">
      <c r="A344" s="2" t="str">
        <f>작업!E344</f>
        <v>수학Ⅱ</v>
      </c>
      <c r="B344" s="2" t="str">
        <f>작업!F344</f>
        <v>3. 적분</v>
      </c>
      <c r="C344" s="2" t="str">
        <f>작업!G344</f>
        <v>L. 정적분</v>
      </c>
      <c r="D344" s="2" t="str">
        <f>작업!H344</f>
        <v>곡선 사이의 넓이</v>
      </c>
      <c r="E344" s="2" t="str">
        <f>작업!C344&amp;"("&amp;VLOOKUP(작업!D344,작업!$N$2:$O$6,2,0)&amp;")"</f>
        <v>20251113(♥♥♥♥)</v>
      </c>
      <c r="F344" s="2" t="str">
        <f>작업!I344</f>
        <v>mun/20251113.png</v>
      </c>
      <c r="G344" s="2">
        <f>작업!J344</f>
        <v>5</v>
      </c>
      <c r="H344" s="2">
        <f>작업!D344</f>
        <v>4</v>
      </c>
      <c r="I344" s="2">
        <f>작업!K344</f>
        <v>1</v>
      </c>
      <c r="J344" s="2" t="str">
        <f>작업!L344</f>
        <v>https://ebsi.co.kr/ebs/lms/player/retrieveLmsPlayerHtml5Simple.ebs?medUrl=https://WSTR.ebsi.co.kr/M41M2401/S20240000737/S20240000737_1M4_100030059808.mp4&amp;strStartTm=1057&amp;pType=2</v>
      </c>
    </row>
    <row r="345" spans="1:10" x14ac:dyDescent="0.3">
      <c r="A345" s="2" t="str">
        <f>작업!E345</f>
        <v>수학Ⅰ</v>
      </c>
      <c r="B345" s="2" t="str">
        <f>작업!F345</f>
        <v>2. 삼각함수</v>
      </c>
      <c r="C345" s="2" t="str">
        <f>작업!G345</f>
        <v>C. 삼각함수</v>
      </c>
      <c r="D345" s="2" t="str">
        <f>작업!H345</f>
        <v>사인법칙과 코사인법칙</v>
      </c>
      <c r="E345" s="2" t="str">
        <f>작업!C345&amp;"("&amp;VLOOKUP(작업!D345,작업!$N$2:$O$6,2,0)&amp;")"</f>
        <v>20251114(♥♥♥♥)</v>
      </c>
      <c r="F345" s="2" t="str">
        <f>작업!I345</f>
        <v>mun/20251114.png</v>
      </c>
      <c r="G345" s="2">
        <f>작업!J345</f>
        <v>4</v>
      </c>
      <c r="H345" s="2">
        <f>작업!D345</f>
        <v>4</v>
      </c>
      <c r="I345" s="2">
        <f>작업!K345</f>
        <v>1</v>
      </c>
      <c r="J345" s="2" t="str">
        <f>작업!L345</f>
        <v>https://ebsi.co.kr/ebs/lms/player/retrieveLmsPlayerHtml5Simple.ebs?medUrl=https://WSTR.ebsi.co.kr/M41M2401/S20240000737/S20240000737_1M4_100030059807.mp4&amp;strStartTm=1356&amp;pType=2</v>
      </c>
    </row>
    <row r="346" spans="1:10" x14ac:dyDescent="0.3">
      <c r="A346" s="2" t="str">
        <f>작업!E346</f>
        <v>수학Ⅱ</v>
      </c>
      <c r="B346" s="2" t="str">
        <f>작업!F346</f>
        <v>2. 미분</v>
      </c>
      <c r="C346" s="2" t="str">
        <f>작업!G346</f>
        <v>I. 도함수</v>
      </c>
      <c r="D346" s="2" t="str">
        <f>작업!H346</f>
        <v>미분가능성</v>
      </c>
      <c r="E346" s="2" t="str">
        <f>작업!C346&amp;"("&amp;VLOOKUP(작업!D346,작업!$N$2:$O$6,2,0)&amp;")"</f>
        <v>20251115(♥♥♥♥♥)</v>
      </c>
      <c r="F346" s="2" t="str">
        <f>작업!I346</f>
        <v>mun/20251115.png</v>
      </c>
      <c r="G346" s="2">
        <f>작업!J346</f>
        <v>2</v>
      </c>
      <c r="H346" s="2">
        <f>작업!D346</f>
        <v>5</v>
      </c>
      <c r="I346" s="2">
        <f>작업!K346</f>
        <v>1</v>
      </c>
      <c r="J346" s="2" t="str">
        <f>작업!L346</f>
        <v>https://ebsi.co.kr/ebs/lms/player/retrieveLmsPlayerHtml5Simple.ebs?medUrl=https://WSTR.ebsi.co.kr/M41M2401/S20240000737/S20240000737_1M4_100030059808.mp4&amp;strStartTm=1672&amp;pType=2</v>
      </c>
    </row>
    <row r="347" spans="1:10" x14ac:dyDescent="0.3">
      <c r="A347" s="2" t="str">
        <f>작업!E347</f>
        <v>수학Ⅰ</v>
      </c>
      <c r="B347" s="2" t="str">
        <f>작업!F347</f>
        <v>1. 지수함수와 로그함수</v>
      </c>
      <c r="C347" s="2" t="str">
        <f>작업!G347</f>
        <v>B. 지수함수와 로그함수</v>
      </c>
      <c r="D347" s="2" t="str">
        <f>작업!H347</f>
        <v>방정식과 부등식에의 활용</v>
      </c>
      <c r="E347" s="2" t="str">
        <f>작업!C347&amp;"("&amp;VLOOKUP(작업!D347,작업!$N$2:$O$6,2,0)&amp;")"</f>
        <v>20251116(♥)</v>
      </c>
      <c r="F347" s="2" t="str">
        <f>작업!I347</f>
        <v>mun/20251116.png</v>
      </c>
      <c r="G347" s="2">
        <f>작업!J347</f>
        <v>7</v>
      </c>
      <c r="H347" s="2">
        <f>작업!D347</f>
        <v>1</v>
      </c>
      <c r="I347" s="2">
        <f>작업!K347</f>
        <v>1</v>
      </c>
      <c r="J347" s="2" t="str">
        <f>작업!L347</f>
        <v>https://ebsi.co.kr/ebs/lms/player/retrieveLmsPlayerHtml5Simple.ebs?medUrl=https://WSTR.ebsi.co.kr/M41M2401/S20240000737/S20240000737_1M4_100030059807.mp4&amp;strStartTm=2032&amp;pType=2</v>
      </c>
    </row>
    <row r="348" spans="1:10" x14ac:dyDescent="0.3">
      <c r="A348" s="2" t="str">
        <f>작업!E348</f>
        <v>수학Ⅱ</v>
      </c>
      <c r="B348" s="2" t="str">
        <f>작업!F348</f>
        <v>3. 적분</v>
      </c>
      <c r="C348" s="2" t="str">
        <f>작업!G348</f>
        <v>K. 부정적분</v>
      </c>
      <c r="D348" s="2" t="str">
        <f>작업!H348</f>
        <v>부정적분</v>
      </c>
      <c r="E348" s="2" t="str">
        <f>작업!C348&amp;"("&amp;VLOOKUP(작업!D348,작업!$N$2:$O$6,2,0)&amp;")"</f>
        <v>20251117(♥)</v>
      </c>
      <c r="F348" s="2" t="str">
        <f>작업!I348</f>
        <v>mun/20251117.png</v>
      </c>
      <c r="G348" s="2">
        <f>작업!J348</f>
        <v>33</v>
      </c>
      <c r="H348" s="2">
        <f>작업!D348</f>
        <v>1</v>
      </c>
      <c r="I348" s="2">
        <f>작업!K348</f>
        <v>1</v>
      </c>
      <c r="J348" s="2" t="str">
        <f>작업!L348</f>
        <v>https://ebsi.co.kr/ebs/lms/player/retrieveLmsPlayerHtml5Simple.ebs?medUrl=https://WSTR.ebsi.co.kr/M41M2401/S20240000737/S20240000737_1M4_100030059808.mp4&amp;strStartTm=2898&amp;pType=2</v>
      </c>
    </row>
    <row r="349" spans="1:10" x14ac:dyDescent="0.3">
      <c r="A349" s="2" t="str">
        <f>작업!E349</f>
        <v>수학Ⅰ</v>
      </c>
      <c r="B349" s="2" t="str">
        <f>작업!F349</f>
        <v>3. 수열</v>
      </c>
      <c r="C349" s="2" t="str">
        <f>작업!G349</f>
        <v>E. 수열의 합</v>
      </c>
      <c r="D349" s="2" t="str">
        <f>작업!H349</f>
        <v>여러 가지 수열의 합</v>
      </c>
      <c r="E349" s="2" t="str">
        <f>작업!C349&amp;"("&amp;VLOOKUP(작업!D349,작업!$N$2:$O$6,2,0)&amp;")"</f>
        <v>20251118(♥♥♥)</v>
      </c>
      <c r="F349" s="2" t="str">
        <f>작업!I349</f>
        <v>mun/20251118.png</v>
      </c>
      <c r="G349" s="2">
        <f>작업!J349</f>
        <v>96</v>
      </c>
      <c r="H349" s="2">
        <f>작업!D349</f>
        <v>3</v>
      </c>
      <c r="I349" s="2">
        <f>작업!K349</f>
        <v>1</v>
      </c>
      <c r="J349" s="2" t="str">
        <f>작업!L349</f>
        <v>https://ebsi.co.kr/ebs/lms/player/retrieveLmsPlayerHtml5Simple.ebs?medUrl=https://WSTR.ebsi.co.kr/M41M2401/S20240000737/S20240000737_1M4_100030059807.mp4&amp;strStartTm=2142&amp;pType=2</v>
      </c>
    </row>
    <row r="350" spans="1:10" x14ac:dyDescent="0.3">
      <c r="A350" s="2" t="str">
        <f>작업!E350</f>
        <v>수학Ⅱ</v>
      </c>
      <c r="B350" s="2" t="str">
        <f>작업!F350</f>
        <v>2. 미분</v>
      </c>
      <c r="C350" s="2" t="str">
        <f>작업!G350</f>
        <v>J. 도함수의 활용</v>
      </c>
      <c r="D350" s="2" t="str">
        <f>작업!H350</f>
        <v>극대와 극소</v>
      </c>
      <c r="E350" s="2" t="str">
        <f>작업!C350&amp;"("&amp;VLOOKUP(작업!D350,작업!$N$2:$O$6,2,0)&amp;")"</f>
        <v>20251119(♥♥♥)</v>
      </c>
      <c r="F350" s="2" t="str">
        <f>작업!I350</f>
        <v>mun/20251119.png</v>
      </c>
      <c r="G350" s="2">
        <f>작업!J350</f>
        <v>41</v>
      </c>
      <c r="H350" s="2">
        <f>작업!D350</f>
        <v>3</v>
      </c>
      <c r="I350" s="2">
        <f>작업!K350</f>
        <v>1</v>
      </c>
      <c r="J350" s="2" t="str">
        <f>작업!L350</f>
        <v>https://ebsi.co.kr/ebs/lms/player/retrieveLmsPlayerHtml5Simple.ebs?medUrl=https://WSTR.ebsi.co.kr/M41M2401/S20240000737/S20240000737_1M4_100030059808.mp4&amp;strStartTm=2959&amp;pType=2</v>
      </c>
    </row>
    <row r="351" spans="1:10" x14ac:dyDescent="0.3">
      <c r="A351" s="2" t="str">
        <f>작업!E351</f>
        <v>수학Ⅰ</v>
      </c>
      <c r="B351" s="2" t="str">
        <f>작업!F351</f>
        <v>1. 지수함수와 로그함수</v>
      </c>
      <c r="C351" s="2" t="str">
        <f>작업!G351</f>
        <v>B. 지수함수와 로그함수</v>
      </c>
      <c r="D351" s="2" t="str">
        <f>작업!H351</f>
        <v>지수함수의 그래프</v>
      </c>
      <c r="E351" s="2" t="str">
        <f>작업!C351&amp;"("&amp;VLOOKUP(작업!D351,작업!$N$2:$O$6,2,0)&amp;")"</f>
        <v>20251120(♥♥♥♥)</v>
      </c>
      <c r="F351" s="2" t="str">
        <f>작업!I351</f>
        <v>mun/20251120.png</v>
      </c>
      <c r="G351" s="2">
        <f>작업!J351</f>
        <v>36</v>
      </c>
      <c r="H351" s="2">
        <f>작업!D351</f>
        <v>4</v>
      </c>
      <c r="I351" s="2">
        <f>작업!K351</f>
        <v>1</v>
      </c>
      <c r="J351" s="2" t="str">
        <f>작업!L351</f>
        <v>https://ebsi.co.kr/ebs/lms/player/retrieveLmsPlayerHtml5Simple.ebs?medUrl=https://WSTR.ebsi.co.kr/M41M2401/S20240000737/S20240000737_1M4_100030059807.mp4&amp;strStartTm=2250&amp;pType=2</v>
      </c>
    </row>
    <row r="352" spans="1:10" x14ac:dyDescent="0.3">
      <c r="A352" s="2" t="str">
        <f>작업!E352</f>
        <v>수학Ⅱ</v>
      </c>
      <c r="B352" s="2" t="str">
        <f>작업!F352</f>
        <v>1. 함수의 극한과 연속</v>
      </c>
      <c r="C352" s="2" t="str">
        <f>작업!G352</f>
        <v>G. 함수의 극한</v>
      </c>
      <c r="D352" s="2" t="str">
        <f>작업!H352</f>
        <v>함수의 극한</v>
      </c>
      <c r="E352" s="2" t="str">
        <f>작업!C352&amp;"("&amp;VLOOKUP(작업!D352,작업!$N$2:$O$6,2,0)&amp;")"</f>
        <v>20251121(♥♥♥♥)</v>
      </c>
      <c r="F352" s="2" t="str">
        <f>작업!I352</f>
        <v>mun/20251121.png</v>
      </c>
      <c r="G352" s="2">
        <f>작업!J352</f>
        <v>16</v>
      </c>
      <c r="H352" s="2">
        <f>작업!D352</f>
        <v>4</v>
      </c>
      <c r="I352" s="2">
        <f>작업!K352</f>
        <v>1</v>
      </c>
      <c r="J352" s="2" t="str">
        <f>작업!L352</f>
        <v>https://ebsi.co.kr/ebs/lms/player/retrieveLmsPlayerHtml5Simple.ebs?medUrl=https://WSTR.ebsi.co.kr/M41M2401/S20240000737/S20240000737_1M4_100030059808.mp4&amp;strStartTm=3174&amp;pType=2</v>
      </c>
    </row>
    <row r="353" spans="1:10" x14ac:dyDescent="0.3">
      <c r="A353" s="2" t="str">
        <f>작업!E353</f>
        <v>수학Ⅰ</v>
      </c>
      <c r="B353" s="2" t="str">
        <f>작업!F353</f>
        <v>3. 수열</v>
      </c>
      <c r="C353" s="2" t="str">
        <f>작업!G353</f>
        <v>F. 수학적 귀납법</v>
      </c>
      <c r="D353" s="2" t="str">
        <f>작업!H353</f>
        <v>수열의 귀납적 정의</v>
      </c>
      <c r="E353" s="2" t="str">
        <f>작업!C353&amp;"("&amp;VLOOKUP(작업!D353,작업!$N$2:$O$6,2,0)&amp;")"</f>
        <v>20251122(♥♥♥♥♥)</v>
      </c>
      <c r="F353" s="2" t="str">
        <f>작업!I353</f>
        <v>mun/20251122.png</v>
      </c>
      <c r="G353" s="2">
        <f>작업!J353</f>
        <v>64</v>
      </c>
      <c r="H353" s="2">
        <f>작업!D353</f>
        <v>5</v>
      </c>
      <c r="I353" s="2">
        <f>작업!K353</f>
        <v>1</v>
      </c>
      <c r="J353" s="2" t="str">
        <f>작업!L353</f>
        <v>https://ebsi.co.kr/ebs/lms/player/retrieveLmsPlayerHtml5Simple.ebs?medUrl=https://WSTR.ebsi.co.kr/M41M2401/S20240000737/S20240000737_1M4_100030059807.mp4&amp;strStartTm=2646&amp;pType=2</v>
      </c>
    </row>
    <row r="354" spans="1:10" x14ac:dyDescent="0.3">
      <c r="A354" s="2" t="str">
        <f>작업!E354</f>
        <v>확률과 통계</v>
      </c>
      <c r="B354" s="2" t="str">
        <f>작업!F354</f>
        <v>1. 경우의 수</v>
      </c>
      <c r="C354" s="2" t="str">
        <f>작업!G354</f>
        <v>N. 이항정리와 이항계수</v>
      </c>
      <c r="D354" s="2" t="str">
        <f>작업!H354</f>
        <v>전개식의 계수</v>
      </c>
      <c r="E354" s="2" t="str">
        <f>작업!C354&amp;"("&amp;VLOOKUP(작업!D354,작업!$N$2:$O$6,2,0)&amp;")"</f>
        <v>20251123(♥)</v>
      </c>
      <c r="F354" s="2" t="str">
        <f>작업!I354</f>
        <v>mun/20251123.png</v>
      </c>
      <c r="G354" s="2">
        <f>작업!J354</f>
        <v>5</v>
      </c>
      <c r="H354" s="2">
        <f>작업!D354</f>
        <v>1</v>
      </c>
      <c r="I354" s="2">
        <f>작업!K354</f>
        <v>1</v>
      </c>
      <c r="J354" s="2" t="str">
        <f>작업!L354</f>
        <v>https://ebsi.co.kr/ebs/lms/player/retrieveLmsPlayerHtml5Simple.ebs?medUrl=https://WSTR.ebsi.co.kr/M41M2401/S20240000737/S20240000737_1M4_100030059809.mp4&amp;strStartTm=205&amp;pType=2</v>
      </c>
    </row>
    <row r="355" spans="1:10" x14ac:dyDescent="0.3">
      <c r="A355" s="2" t="str">
        <f>작업!E355</f>
        <v>확률과 통계</v>
      </c>
      <c r="B355" s="2" t="str">
        <f>작업!F355</f>
        <v>3. 통계</v>
      </c>
      <c r="C355" s="2" t="str">
        <f>작업!G355</f>
        <v>R. 통계적 추정</v>
      </c>
      <c r="D355" s="2" t="str">
        <f>작업!H355</f>
        <v>모평균의 추정</v>
      </c>
      <c r="E355" s="2" t="str">
        <f>작업!C355&amp;"("&amp;VLOOKUP(작업!D355,작업!$N$2:$O$6,2,0)&amp;")"</f>
        <v>20251125(♥♥)</v>
      </c>
      <c r="F355" s="2" t="str">
        <f>작업!I355</f>
        <v>mun/20251125.png</v>
      </c>
      <c r="G355" s="2">
        <f>작업!J355</f>
        <v>1</v>
      </c>
      <c r="H355" s="2">
        <f>작업!D355</f>
        <v>2</v>
      </c>
      <c r="I355" s="2">
        <f>작업!K355</f>
        <v>1</v>
      </c>
      <c r="J355" s="2" t="str">
        <f>작업!L355</f>
        <v>https://ebsi.co.kr/ebs/lms/player/retrieveLmsPlayerHtml5Simple.ebs?medUrl=https://WSTR.ebsi.co.kr/M41M2401/S20240000737/S20240000737_1M4_100030059809.mp4&amp;strStartTm=526&amp;pType=2</v>
      </c>
    </row>
    <row r="356" spans="1:10" x14ac:dyDescent="0.3">
      <c r="A356" s="2" t="str">
        <f>작업!E356</f>
        <v>확률과 통계</v>
      </c>
      <c r="B356" s="2" t="str">
        <f>작업!F356</f>
        <v>3. 통계</v>
      </c>
      <c r="C356" s="2" t="str">
        <f>작업!G356</f>
        <v>R. 통계적 추정</v>
      </c>
      <c r="D356" s="2" t="str">
        <f>작업!H356</f>
        <v>표본평균</v>
      </c>
      <c r="E356" s="2" t="str">
        <f>작업!C356&amp;"("&amp;VLOOKUP(작업!D356,작업!$N$2:$O$6,2,0)&amp;")"</f>
        <v>20230929(♥♥♥♥)</v>
      </c>
      <c r="F356" s="2" t="str">
        <f>작업!I356</f>
        <v>mun/20230929.png</v>
      </c>
      <c r="G356" s="2">
        <f>작업!J356</f>
        <v>175</v>
      </c>
      <c r="H356" s="2">
        <f>작업!D356</f>
        <v>4</v>
      </c>
      <c r="I356" s="2">
        <f>작업!K356</f>
        <v>1</v>
      </c>
      <c r="J356" s="2" t="str">
        <f>작업!L356</f>
        <v>https://ebsi.co.kr/ebs/lms/player/retrieveLmsPlayerHtml5Simple.ebs?medUrl=https://WSTR.ebsi.co.kr/M41M2201/S20220000415/S20220000415_1M4_100030027368.mp4&amp;strStartTm=2504&amp;pType=2</v>
      </c>
    </row>
    <row r="357" spans="1:10" x14ac:dyDescent="0.3">
      <c r="A357" s="2" t="str">
        <f>작업!E357</f>
        <v>확률과 통계</v>
      </c>
      <c r="B357" s="2" t="str">
        <f>작업!F357</f>
        <v>3. 통계</v>
      </c>
      <c r="C357" s="2" t="str">
        <f>작업!G357</f>
        <v>R. 통계적 추정</v>
      </c>
      <c r="D357" s="2" t="str">
        <f>작업!H357</f>
        <v>표본평균</v>
      </c>
      <c r="E357" s="2" t="str">
        <f>작업!C357&amp;"("&amp;VLOOKUP(작업!D357,작업!$N$2:$O$6,2,0)&amp;")"</f>
        <v>20240928(♥♥♥♥)</v>
      </c>
      <c r="F357" s="2" t="str">
        <f>작업!I357</f>
        <v>mun/20240928.png</v>
      </c>
      <c r="G357" s="2">
        <f>작업!J357</f>
        <v>5</v>
      </c>
      <c r="H357" s="2">
        <f>작업!D357</f>
        <v>4</v>
      </c>
      <c r="I357" s="2">
        <f>작업!K357</f>
        <v>1</v>
      </c>
      <c r="J357" s="2" t="str">
        <f>작업!L357</f>
        <v>https://ebsi.co.kr/ebs/lms/player/retrieveLmsPlayerHtml5Simple.ebs?medUrl=https://WSTR.ebsi.co.kr/M41M2301/S20230000491/S20230000491_1M4_100030043587.mp4&amp;strStartTm=1523&amp;pType=2</v>
      </c>
    </row>
    <row r="358" spans="1:10" x14ac:dyDescent="0.3">
      <c r="A358" s="2" t="str">
        <f>작업!E358</f>
        <v>확률과 통계</v>
      </c>
      <c r="B358" s="2" t="str">
        <f>작업!F358</f>
        <v>3. 통계</v>
      </c>
      <c r="C358" s="2" t="str">
        <f>작업!G358</f>
        <v>R. 통계적 추정</v>
      </c>
      <c r="D358" s="2" t="str">
        <f>작업!H358</f>
        <v>표본평균의 분포</v>
      </c>
      <c r="E358" s="2" t="str">
        <f>작업!C358&amp;"("&amp;VLOOKUP(작업!D358,작업!$N$2:$O$6,2,0)&amp;")"</f>
        <v>20220927(♥♥♥)</v>
      </c>
      <c r="F358" s="2" t="str">
        <f>작업!I358</f>
        <v>mun/20220927.png</v>
      </c>
      <c r="G358" s="2">
        <f>작업!J358</f>
        <v>5</v>
      </c>
      <c r="H358" s="2">
        <f>작업!D358</f>
        <v>3</v>
      </c>
      <c r="I358" s="2">
        <f>작업!K358</f>
        <v>1</v>
      </c>
      <c r="J358" s="2" t="str">
        <f>작업!L358</f>
        <v>https://ebsi.co.kr/ebs/lms/player/retrieveLmsPlayerHtml5Simple.ebs?medUrl=https://WSTR.ebsi.co.kr/M41M2101/S20210001003/S20210001003_1M4_100030008433.mp4&amp;strStartTm=1414&amp;pType=2</v>
      </c>
    </row>
    <row r="359" spans="1:10" x14ac:dyDescent="0.3">
      <c r="A359" s="2" t="str">
        <f>작업!E359</f>
        <v>확률과 통계</v>
      </c>
      <c r="B359" s="2" t="str">
        <f>작업!F359</f>
        <v>1. 경우의 수</v>
      </c>
      <c r="C359" s="2" t="str">
        <f>작업!G359</f>
        <v>M. 여러 가지 순열과 중복 조합</v>
      </c>
      <c r="D359" s="2" t="str">
        <f>작업!H359</f>
        <v>중복 조합</v>
      </c>
      <c r="E359" s="2" t="str">
        <f>작업!C359&amp;"("&amp;VLOOKUP(작업!D359,작업!$N$2:$O$6,2,0)&amp;")"</f>
        <v>20251128(♥♥♥♥)</v>
      </c>
      <c r="F359" s="2" t="str">
        <f>작업!I359</f>
        <v>mun/20251128.png</v>
      </c>
      <c r="G359" s="2">
        <f>작업!J359</f>
        <v>2</v>
      </c>
      <c r="H359" s="2">
        <f>작업!D359</f>
        <v>4</v>
      </c>
      <c r="I359" s="2">
        <f>작업!K359</f>
        <v>1</v>
      </c>
      <c r="J359" s="2" t="str">
        <f>작업!L359</f>
        <v>https://ebsi.co.kr/ebs/lms/player/retrieveLmsPlayerHtml5Simple.ebs?medUrl=https://WSTR.ebsi.co.kr/M41M2401/S20240000737/S20240000737_1M4_100030059809.mp4&amp;strStartTm=1223&amp;pType=2</v>
      </c>
    </row>
    <row r="360" spans="1:10" x14ac:dyDescent="0.3">
      <c r="A360" s="2" t="str">
        <f>작업!E360</f>
        <v>확률과 통계</v>
      </c>
      <c r="B360" s="2" t="str">
        <f>작업!F360</f>
        <v>3. 통계</v>
      </c>
      <c r="C360" s="2" t="str">
        <f>작업!G360</f>
        <v>R. 통계적 추정</v>
      </c>
      <c r="D360" s="2" t="str">
        <f>작업!H360</f>
        <v>표본평균의 분포</v>
      </c>
      <c r="E360" s="2" t="str">
        <f>작업!C360&amp;"("&amp;VLOOKUP(작업!D360,작업!$N$2:$O$6,2,0)&amp;")"</f>
        <v>20250926(♥♥)</v>
      </c>
      <c r="F360" s="2" t="str">
        <f>작업!I360</f>
        <v>mun/20250926.png</v>
      </c>
      <c r="G360" s="2">
        <f>작업!J360</f>
        <v>3</v>
      </c>
      <c r="H360" s="2">
        <f>작업!D360</f>
        <v>2</v>
      </c>
      <c r="I360" s="2">
        <f>작업!K360</f>
        <v>1</v>
      </c>
      <c r="J360" s="2" t="str">
        <f>작업!L360</f>
        <v>https://ebsi.co.kr/ebs/lms/player/retrieveLmsPlayerHtml5Simple.ebs?medUrl=https://WSTR.ebsi.co.kr/M41M2401/S20240000528/S20240000528_1M4_100030058242.mp4&amp;strStartTm=792&amp;pType=2</v>
      </c>
    </row>
    <row r="361" spans="1:10" x14ac:dyDescent="0.3">
      <c r="A361" s="2" t="str">
        <f>작업!E361</f>
        <v>확률과 통계</v>
      </c>
      <c r="B361" s="2" t="str">
        <f>작업!F361</f>
        <v>3. 통계</v>
      </c>
      <c r="C361" s="2" t="str">
        <f>작업!G361</f>
        <v>R. 통계적 추정</v>
      </c>
      <c r="D361" s="2" t="str">
        <f>작업!H361</f>
        <v>표본평균의 분포</v>
      </c>
      <c r="E361" s="2" t="str">
        <f>작업!C361&amp;"("&amp;VLOOKUP(작업!D361,작업!$N$2:$O$6,2,0)&amp;")"</f>
        <v>20251127(♥♥♥)</v>
      </c>
      <c r="F361" s="2" t="str">
        <f>작업!I361</f>
        <v>mun/20251127.png</v>
      </c>
      <c r="G361" s="2">
        <f>작업!J361</f>
        <v>3</v>
      </c>
      <c r="H361" s="2">
        <f>작업!D361</f>
        <v>3</v>
      </c>
      <c r="I361" s="2">
        <f>작업!K361</f>
        <v>1</v>
      </c>
      <c r="J361" s="2" t="str">
        <f>작업!L361</f>
        <v>https://ebsi.co.kr/ebs/lms/player/retrieveLmsPlayerHtml5Simple.ebs?medUrl=https://WSTR.ebsi.co.kr/M41M2401/S20240000737/S20240000737_1M4_100030059809.mp4&amp;strStartTm=887&amp;pType=2</v>
      </c>
    </row>
    <row r="362" spans="1:10" x14ac:dyDescent="0.3">
      <c r="J362" s="2"/>
    </row>
    <row r="363" spans="1:10" x14ac:dyDescent="0.3">
      <c r="J363" s="2"/>
    </row>
    <row r="364" spans="1:10" x14ac:dyDescent="0.3">
      <c r="J364" s="2"/>
    </row>
    <row r="365" spans="1:10" x14ac:dyDescent="0.3">
      <c r="J365" s="2"/>
    </row>
    <row r="366" spans="1:10" x14ac:dyDescent="0.3">
      <c r="J366" s="2"/>
    </row>
    <row r="367" spans="1:10" x14ac:dyDescent="0.3">
      <c r="J367" s="2"/>
    </row>
    <row r="368" spans="1:10" x14ac:dyDescent="0.3">
      <c r="J368" s="2"/>
    </row>
    <row r="369" spans="10:10" x14ac:dyDescent="0.3">
      <c r="J369" s="2"/>
    </row>
    <row r="370" spans="10:10" x14ac:dyDescent="0.3">
      <c r="J370" s="2"/>
    </row>
    <row r="371" spans="10:10" x14ac:dyDescent="0.3">
      <c r="J371" s="2"/>
    </row>
    <row r="372" spans="10:10" x14ac:dyDescent="0.3">
      <c r="J372" s="2"/>
    </row>
    <row r="373" spans="10:10" x14ac:dyDescent="0.3">
      <c r="J373" s="2"/>
    </row>
    <row r="374" spans="10:10" x14ac:dyDescent="0.3">
      <c r="J374" s="2"/>
    </row>
    <row r="375" spans="10:10" x14ac:dyDescent="0.3">
      <c r="J375" s="2"/>
    </row>
    <row r="376" spans="10:10" x14ac:dyDescent="0.3">
      <c r="J376" s="2"/>
    </row>
    <row r="377" spans="10:10" x14ac:dyDescent="0.3">
      <c r="J377" s="2"/>
    </row>
    <row r="378" spans="10:10" x14ac:dyDescent="0.3">
      <c r="J378" s="2"/>
    </row>
    <row r="379" spans="10:10" x14ac:dyDescent="0.3">
      <c r="J379" s="2"/>
    </row>
    <row r="380" spans="10:10" x14ac:dyDescent="0.3">
      <c r="J380" s="2"/>
    </row>
    <row r="381" spans="10:10" x14ac:dyDescent="0.3">
      <c r="J381" s="2"/>
    </row>
    <row r="382" spans="10:10" x14ac:dyDescent="0.3">
      <c r="J382" s="2"/>
    </row>
    <row r="383" spans="10:10" x14ac:dyDescent="0.3">
      <c r="J383" s="2"/>
    </row>
    <row r="384" spans="10:10" x14ac:dyDescent="0.3">
      <c r="J384" s="2"/>
    </row>
    <row r="385" spans="10:10" x14ac:dyDescent="0.3">
      <c r="J385" s="2"/>
    </row>
    <row r="386" spans="10:10" x14ac:dyDescent="0.3">
      <c r="J386" s="2"/>
    </row>
    <row r="387" spans="10:10" x14ac:dyDescent="0.3">
      <c r="J387" s="2"/>
    </row>
    <row r="388" spans="10:10" x14ac:dyDescent="0.3">
      <c r="J388" s="2"/>
    </row>
    <row r="389" spans="10:10" x14ac:dyDescent="0.3">
      <c r="J389" s="2"/>
    </row>
    <row r="390" spans="10:10" x14ac:dyDescent="0.3">
      <c r="J390" s="2"/>
    </row>
    <row r="391" spans="10:10" x14ac:dyDescent="0.3">
      <c r="J391" s="2"/>
    </row>
    <row r="392" spans="10:10" x14ac:dyDescent="0.3">
      <c r="J392" s="2"/>
    </row>
    <row r="393" spans="10:10" x14ac:dyDescent="0.3">
      <c r="J393" s="2"/>
    </row>
    <row r="394" spans="10:10" x14ac:dyDescent="0.3">
      <c r="J394" s="2"/>
    </row>
    <row r="395" spans="10:10" x14ac:dyDescent="0.3">
      <c r="J395" s="2"/>
    </row>
    <row r="396" spans="10:10" x14ac:dyDescent="0.3">
      <c r="J396" s="2"/>
    </row>
    <row r="397" spans="10:10" x14ac:dyDescent="0.3">
      <c r="J397" s="2"/>
    </row>
    <row r="398" spans="10:10" x14ac:dyDescent="0.3">
      <c r="J398" s="2"/>
    </row>
    <row r="399" spans="10:10" x14ac:dyDescent="0.3">
      <c r="J399" s="2"/>
    </row>
    <row r="400" spans="10:10" x14ac:dyDescent="0.3">
      <c r="J400" s="2"/>
    </row>
    <row r="401" spans="10:10" x14ac:dyDescent="0.3">
      <c r="J401" s="2"/>
    </row>
    <row r="402" spans="10:10" x14ac:dyDescent="0.3">
      <c r="J402" s="2"/>
    </row>
    <row r="403" spans="10:10" x14ac:dyDescent="0.3">
      <c r="J403" s="2"/>
    </row>
    <row r="404" spans="10:10" x14ac:dyDescent="0.3">
      <c r="J404" s="2"/>
    </row>
    <row r="405" spans="10:10" x14ac:dyDescent="0.3">
      <c r="J405" s="2"/>
    </row>
    <row r="406" spans="10:10" x14ac:dyDescent="0.3">
      <c r="J406" s="2"/>
    </row>
    <row r="407" spans="10:10" x14ac:dyDescent="0.3">
      <c r="J407" s="2"/>
    </row>
    <row r="408" spans="10:10" x14ac:dyDescent="0.3">
      <c r="J408" s="2"/>
    </row>
    <row r="409" spans="10:10" x14ac:dyDescent="0.3">
      <c r="J409" s="2"/>
    </row>
    <row r="410" spans="10:10" x14ac:dyDescent="0.3">
      <c r="J410" s="2"/>
    </row>
    <row r="411" spans="10:10" x14ac:dyDescent="0.3">
      <c r="J411" s="2"/>
    </row>
    <row r="412" spans="10:10" x14ac:dyDescent="0.3">
      <c r="J412" s="2"/>
    </row>
    <row r="413" spans="10:10" x14ac:dyDescent="0.3">
      <c r="J413" s="2"/>
    </row>
    <row r="414" spans="10:10" x14ac:dyDescent="0.3">
      <c r="J414" s="2"/>
    </row>
    <row r="415" spans="10:10" x14ac:dyDescent="0.3">
      <c r="J415" s="2"/>
    </row>
    <row r="416" spans="10:10" x14ac:dyDescent="0.3">
      <c r="J416" s="2"/>
    </row>
    <row r="417" spans="10:10" x14ac:dyDescent="0.3">
      <c r="J417" s="2"/>
    </row>
    <row r="418" spans="10:10" x14ac:dyDescent="0.3">
      <c r="J418" s="2"/>
    </row>
    <row r="419" spans="10:10" x14ac:dyDescent="0.3">
      <c r="J419" s="2"/>
    </row>
    <row r="420" spans="10:10" x14ac:dyDescent="0.3">
      <c r="J420" s="2"/>
    </row>
    <row r="421" spans="10:10" x14ac:dyDescent="0.3">
      <c r="J421" s="2"/>
    </row>
    <row r="422" spans="10:10" x14ac:dyDescent="0.3">
      <c r="J422" s="2"/>
    </row>
    <row r="423" spans="10:10" x14ac:dyDescent="0.3">
      <c r="J423" s="2"/>
    </row>
    <row r="424" spans="10:10" x14ac:dyDescent="0.3">
      <c r="J424" s="2"/>
    </row>
    <row r="425" spans="10:10" x14ac:dyDescent="0.3">
      <c r="J425" s="2"/>
    </row>
    <row r="426" spans="10:10" x14ac:dyDescent="0.3">
      <c r="J426" s="2"/>
    </row>
    <row r="427" spans="10:10" x14ac:dyDescent="0.3">
      <c r="J427" s="2"/>
    </row>
    <row r="428" spans="10:10" x14ac:dyDescent="0.3">
      <c r="J428" s="2"/>
    </row>
    <row r="429" spans="10:10" x14ac:dyDescent="0.3">
      <c r="J429" s="2"/>
    </row>
    <row r="430" spans="10:10" x14ac:dyDescent="0.3">
      <c r="J430" s="2"/>
    </row>
    <row r="431" spans="10:10" x14ac:dyDescent="0.3">
      <c r="J431" s="2"/>
    </row>
    <row r="432" spans="10:10" x14ac:dyDescent="0.3">
      <c r="J432" s="2"/>
    </row>
    <row r="433" spans="10:10" x14ac:dyDescent="0.3">
      <c r="J433" s="2"/>
    </row>
    <row r="434" spans="10:10" x14ac:dyDescent="0.3">
      <c r="J434" s="2"/>
    </row>
    <row r="435" spans="10:10" x14ac:dyDescent="0.3">
      <c r="J435" s="2"/>
    </row>
    <row r="436" spans="10:10" x14ac:dyDescent="0.3">
      <c r="J436" s="2"/>
    </row>
    <row r="437" spans="10:10" x14ac:dyDescent="0.3">
      <c r="J437" s="2"/>
    </row>
    <row r="438" spans="10:10" x14ac:dyDescent="0.3">
      <c r="J438" s="2"/>
    </row>
    <row r="439" spans="10:10" x14ac:dyDescent="0.3">
      <c r="J439" s="2"/>
    </row>
    <row r="440" spans="10:10" x14ac:dyDescent="0.3">
      <c r="J440" s="2"/>
    </row>
    <row r="441" spans="10:10" x14ac:dyDescent="0.3">
      <c r="J441" s="2"/>
    </row>
    <row r="442" spans="10:10" x14ac:dyDescent="0.3">
      <c r="J442" s="2"/>
    </row>
    <row r="443" spans="10:10" x14ac:dyDescent="0.3">
      <c r="J443" s="2"/>
    </row>
    <row r="444" spans="10:10" x14ac:dyDescent="0.3">
      <c r="J444" s="2"/>
    </row>
    <row r="445" spans="10:10" x14ac:dyDescent="0.3">
      <c r="J445" s="2"/>
    </row>
    <row r="446" spans="10:10" x14ac:dyDescent="0.3">
      <c r="J446" s="2"/>
    </row>
    <row r="447" spans="10:10" x14ac:dyDescent="0.3">
      <c r="J447" s="2"/>
    </row>
    <row r="448" spans="10:10" x14ac:dyDescent="0.3">
      <c r="J448" s="2"/>
    </row>
    <row r="449" spans="10:10" x14ac:dyDescent="0.3">
      <c r="J449" s="2"/>
    </row>
    <row r="450" spans="10:10" x14ac:dyDescent="0.3">
      <c r="J450" s="2"/>
    </row>
    <row r="451" spans="10:10" x14ac:dyDescent="0.3">
      <c r="J451" s="2"/>
    </row>
    <row r="452" spans="10:10" x14ac:dyDescent="0.3">
      <c r="J452" s="2"/>
    </row>
    <row r="453" spans="10:10" x14ac:dyDescent="0.3">
      <c r="J453" s="2"/>
    </row>
    <row r="454" spans="10:10" x14ac:dyDescent="0.3">
      <c r="J454" s="2"/>
    </row>
    <row r="455" spans="10:10" x14ac:dyDescent="0.3">
      <c r="J455" s="2"/>
    </row>
    <row r="456" spans="10:10" x14ac:dyDescent="0.3">
      <c r="J456" s="2"/>
    </row>
    <row r="457" spans="10:10" x14ac:dyDescent="0.3">
      <c r="J457" s="2"/>
    </row>
    <row r="458" spans="10:10" x14ac:dyDescent="0.3">
      <c r="J458" s="2"/>
    </row>
    <row r="459" spans="10:10" x14ac:dyDescent="0.3">
      <c r="J459" s="2"/>
    </row>
    <row r="460" spans="10:10" x14ac:dyDescent="0.3">
      <c r="J460" s="2"/>
    </row>
    <row r="461" spans="10:10" x14ac:dyDescent="0.3">
      <c r="J461" s="2"/>
    </row>
    <row r="462" spans="10:10" x14ac:dyDescent="0.3">
      <c r="J462" s="2"/>
    </row>
    <row r="463" spans="10:10" x14ac:dyDescent="0.3">
      <c r="J463" s="2"/>
    </row>
    <row r="464" spans="10:10" x14ac:dyDescent="0.3">
      <c r="J464" s="2"/>
    </row>
    <row r="465" spans="10:10" x14ac:dyDescent="0.3">
      <c r="J465" s="2"/>
    </row>
    <row r="466" spans="10:10" x14ac:dyDescent="0.3">
      <c r="J466" s="2"/>
    </row>
    <row r="467" spans="10:10" x14ac:dyDescent="0.3">
      <c r="J467" s="2"/>
    </row>
    <row r="468" spans="10:10" x14ac:dyDescent="0.3">
      <c r="J468" s="2"/>
    </row>
    <row r="469" spans="10:10" x14ac:dyDescent="0.3">
      <c r="J469" s="2"/>
    </row>
    <row r="470" spans="10:10" x14ac:dyDescent="0.3">
      <c r="J470" s="2"/>
    </row>
    <row r="471" spans="10:10" x14ac:dyDescent="0.3">
      <c r="J471" s="2"/>
    </row>
    <row r="472" spans="10:10" x14ac:dyDescent="0.3">
      <c r="J472" s="2"/>
    </row>
    <row r="473" spans="10:10" x14ac:dyDescent="0.3">
      <c r="J473" s="2"/>
    </row>
    <row r="474" spans="10:10" x14ac:dyDescent="0.3">
      <c r="J474" s="2"/>
    </row>
    <row r="475" spans="10:10" x14ac:dyDescent="0.3">
      <c r="J475" s="2"/>
    </row>
    <row r="476" spans="10:10" x14ac:dyDescent="0.3">
      <c r="J476" s="2"/>
    </row>
    <row r="477" spans="10:10" x14ac:dyDescent="0.3">
      <c r="J477" s="2"/>
    </row>
    <row r="478" spans="10:10" x14ac:dyDescent="0.3">
      <c r="J478" s="2"/>
    </row>
    <row r="479" spans="10:10" x14ac:dyDescent="0.3">
      <c r="J479" s="2"/>
    </row>
    <row r="480" spans="10:10" x14ac:dyDescent="0.3">
      <c r="J480" s="2"/>
    </row>
    <row r="481" spans="10:10" x14ac:dyDescent="0.3">
      <c r="J481" s="2"/>
    </row>
    <row r="482" spans="10:10" x14ac:dyDescent="0.3">
      <c r="J482" s="2"/>
    </row>
    <row r="483" spans="10:10" x14ac:dyDescent="0.3">
      <c r="J483" s="2"/>
    </row>
    <row r="484" spans="10:10" x14ac:dyDescent="0.3">
      <c r="J484" s="2"/>
    </row>
    <row r="485" spans="10:10" x14ac:dyDescent="0.3">
      <c r="J485" s="2"/>
    </row>
    <row r="486" spans="10:10" x14ac:dyDescent="0.3">
      <c r="J486" s="2"/>
    </row>
    <row r="487" spans="10:10" x14ac:dyDescent="0.3">
      <c r="J487" s="2"/>
    </row>
    <row r="488" spans="10:10" x14ac:dyDescent="0.3">
      <c r="J488" s="2"/>
    </row>
    <row r="489" spans="10:10" x14ac:dyDescent="0.3">
      <c r="J489" s="2"/>
    </row>
    <row r="490" spans="10:10" x14ac:dyDescent="0.3">
      <c r="J490" s="2"/>
    </row>
    <row r="491" spans="10:10" x14ac:dyDescent="0.3">
      <c r="J491" s="2"/>
    </row>
    <row r="492" spans="10:10" x14ac:dyDescent="0.3">
      <c r="J492" s="2"/>
    </row>
    <row r="493" spans="10:10" x14ac:dyDescent="0.3">
      <c r="J493" s="2"/>
    </row>
    <row r="494" spans="10:10" x14ac:dyDescent="0.3">
      <c r="J494" s="2"/>
    </row>
    <row r="495" spans="10:10" x14ac:dyDescent="0.3">
      <c r="J495" s="2"/>
    </row>
    <row r="496" spans="10:10" x14ac:dyDescent="0.3">
      <c r="J496" s="2"/>
    </row>
    <row r="497" spans="10:10" x14ac:dyDescent="0.3">
      <c r="J497" s="2"/>
    </row>
    <row r="498" spans="10:10" x14ac:dyDescent="0.3">
      <c r="J498" s="2"/>
    </row>
    <row r="499" spans="10:10" x14ac:dyDescent="0.3">
      <c r="J499" s="2"/>
    </row>
    <row r="500" spans="10:10" x14ac:dyDescent="0.3">
      <c r="J500" s="2"/>
    </row>
    <row r="501" spans="10:10" x14ac:dyDescent="0.3">
      <c r="J501" s="2"/>
    </row>
    <row r="502" spans="10:10" x14ac:dyDescent="0.3">
      <c r="J502" s="2"/>
    </row>
    <row r="503" spans="10:10" x14ac:dyDescent="0.3">
      <c r="J503" s="2"/>
    </row>
    <row r="504" spans="10:10" x14ac:dyDescent="0.3">
      <c r="J504" s="2"/>
    </row>
    <row r="505" spans="10:10" x14ac:dyDescent="0.3">
      <c r="J505" s="2"/>
    </row>
    <row r="506" spans="10:10" x14ac:dyDescent="0.3">
      <c r="J506" s="2"/>
    </row>
    <row r="507" spans="10:10" x14ac:dyDescent="0.3">
      <c r="J507" s="2"/>
    </row>
    <row r="508" spans="10:10" x14ac:dyDescent="0.3">
      <c r="J508" s="2"/>
    </row>
    <row r="509" spans="10:10" x14ac:dyDescent="0.3">
      <c r="J509" s="2"/>
    </row>
    <row r="510" spans="10:10" x14ac:dyDescent="0.3">
      <c r="J510" s="2"/>
    </row>
    <row r="511" spans="10:10" x14ac:dyDescent="0.3">
      <c r="J511" s="2"/>
    </row>
    <row r="512" spans="10:10" x14ac:dyDescent="0.3">
      <c r="J512" s="2"/>
    </row>
    <row r="513" spans="10:10" x14ac:dyDescent="0.3">
      <c r="J513" s="2"/>
    </row>
    <row r="514" spans="10:10" x14ac:dyDescent="0.3">
      <c r="J514" s="2"/>
    </row>
    <row r="515" spans="10:10" x14ac:dyDescent="0.3">
      <c r="J515" s="2"/>
    </row>
    <row r="516" spans="10:10" x14ac:dyDescent="0.3">
      <c r="J516" s="2"/>
    </row>
    <row r="517" spans="10:10" x14ac:dyDescent="0.3">
      <c r="J517" s="2"/>
    </row>
    <row r="518" spans="10:10" x14ac:dyDescent="0.3">
      <c r="J518" s="2"/>
    </row>
    <row r="519" spans="10:10" x14ac:dyDescent="0.3">
      <c r="J519" s="2"/>
    </row>
    <row r="520" spans="10:10" x14ac:dyDescent="0.3">
      <c r="J520" s="2"/>
    </row>
    <row r="521" spans="10:10" x14ac:dyDescent="0.3">
      <c r="J521" s="2"/>
    </row>
    <row r="522" spans="10:10" x14ac:dyDescent="0.3">
      <c r="J522" s="2"/>
    </row>
    <row r="523" spans="10:10" x14ac:dyDescent="0.3">
      <c r="J523" s="2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DA2F-4BCC-4672-A598-0838AC66E2CF}">
  <sheetPr codeName="Sheet3"/>
  <dimension ref="A1:O391"/>
  <sheetViews>
    <sheetView zoomScaleNormal="100" workbookViewId="0">
      <pane ySplit="1" topLeftCell="A384" activePane="bottomLeft" state="frozen"/>
      <selection pane="bottomLeft" activeCell="B389" sqref="B389"/>
    </sheetView>
  </sheetViews>
  <sheetFormatPr defaultColWidth="9" defaultRowHeight="16.5" x14ac:dyDescent="0.3"/>
  <cols>
    <col min="1" max="1" width="9" style="7"/>
    <col min="2" max="2" width="61.125" style="6" bestFit="1" customWidth="1"/>
    <col min="3" max="3" width="12.875" style="7" bestFit="1" customWidth="1"/>
    <col min="4" max="4" width="6.5" style="7" customWidth="1"/>
    <col min="5" max="5" width="20" style="7" bestFit="1" customWidth="1"/>
    <col min="6" max="6" width="13" style="7" customWidth="1"/>
    <col min="7" max="7" width="22" style="7" bestFit="1" customWidth="1"/>
    <col min="8" max="8" width="22" style="7" customWidth="1"/>
    <col min="9" max="9" width="20.875" style="7" customWidth="1"/>
    <col min="10" max="10" width="5.25" style="7" bestFit="1" customWidth="1"/>
    <col min="11" max="11" width="6.5" style="7" customWidth="1"/>
    <col min="12" max="12" width="62.5" style="6" customWidth="1"/>
    <col min="13" max="13" width="9" style="7"/>
    <col min="14" max="14" width="2.5" style="7" bestFit="1" customWidth="1"/>
    <col min="15" max="15" width="11" style="7" bestFit="1" customWidth="1"/>
    <col min="16" max="16384" width="9" style="7"/>
  </cols>
  <sheetData>
    <row r="1" spans="1:15" x14ac:dyDescent="0.3">
      <c r="A1" s="5" t="s">
        <v>554</v>
      </c>
      <c r="B1" s="5" t="s">
        <v>7</v>
      </c>
      <c r="C1" s="5" t="s">
        <v>3</v>
      </c>
      <c r="D1" s="5" t="s">
        <v>8</v>
      </c>
      <c r="E1" s="5" t="s">
        <v>7</v>
      </c>
      <c r="F1" s="5" t="s">
        <v>0</v>
      </c>
      <c r="G1" s="5" t="s">
        <v>1</v>
      </c>
      <c r="H1" s="5" t="s">
        <v>2</v>
      </c>
      <c r="I1" s="5" t="s">
        <v>4</v>
      </c>
      <c r="J1" s="5" t="s">
        <v>5</v>
      </c>
      <c r="K1" s="5" t="s">
        <v>9</v>
      </c>
      <c r="L1" s="5" t="s">
        <v>6</v>
      </c>
      <c r="O1" s="7" t="s">
        <v>8</v>
      </c>
    </row>
    <row r="2" spans="1:15" x14ac:dyDescent="0.3">
      <c r="A2" s="7">
        <f>VLOOKUP(B2,Sheet3!A:B,2,0)</f>
        <v>2</v>
      </c>
      <c r="B2" s="6" t="s">
        <v>495</v>
      </c>
      <c r="C2" s="7">
        <v>20220601</v>
      </c>
      <c r="D2" s="7">
        <v>1</v>
      </c>
      <c r="E2" s="7" t="str">
        <f>VLOOKUP(B2,Sheet3!A:F,3,0)</f>
        <v>수학Ⅰ</v>
      </c>
      <c r="F2" s="7" t="str">
        <f>VLOOKUP(B2,Sheet3!A:F,4,0)</f>
        <v>1. 지수함수와 로그함수</v>
      </c>
      <c r="G2" s="7" t="str">
        <f>VLOOKUP(B2,Sheet3!A:F,5,0)</f>
        <v>A. 지수와 로그</v>
      </c>
      <c r="H2" s="7" t="str">
        <f>VLOOKUP(B2,Sheet3!A:F,6,0)</f>
        <v>지수의 연산</v>
      </c>
      <c r="I2" s="7" t="str">
        <f t="shared" ref="I2:I65" si="0">"mun/"&amp;C2&amp;".png"</f>
        <v>mun/20220601.png</v>
      </c>
      <c r="J2" s="7">
        <v>4</v>
      </c>
      <c r="K2" s="7">
        <v>1</v>
      </c>
      <c r="L2" s="6" t="s">
        <v>455</v>
      </c>
      <c r="N2" s="7">
        <v>1</v>
      </c>
      <c r="O2" s="7" t="s">
        <v>141</v>
      </c>
    </row>
    <row r="3" spans="1:15" x14ac:dyDescent="0.3">
      <c r="A3" s="7">
        <f>VLOOKUP(B3,Sheet3!A:B,2,0)</f>
        <v>37</v>
      </c>
      <c r="B3" s="6" t="s">
        <v>528</v>
      </c>
      <c r="C3" s="7">
        <v>20220602</v>
      </c>
      <c r="D3" s="7">
        <v>1</v>
      </c>
      <c r="E3" s="7" t="str">
        <f>VLOOKUP(B3,Sheet3!A:F,3,0)</f>
        <v>수학Ⅱ</v>
      </c>
      <c r="F3" s="7" t="str">
        <f>VLOOKUP(B3,Sheet3!A:F,4,0)</f>
        <v>3. 적분</v>
      </c>
      <c r="G3" s="7" t="str">
        <f>VLOOKUP(B3,Sheet3!A:F,5,0)</f>
        <v>K. 부정적분</v>
      </c>
      <c r="H3" s="7" t="str">
        <f>VLOOKUP(B3,Sheet3!A:F,6,0)</f>
        <v>부정적분</v>
      </c>
      <c r="I3" s="7" t="str">
        <f t="shared" si="0"/>
        <v>mun/20220602.png</v>
      </c>
      <c r="J3" s="7">
        <v>5</v>
      </c>
      <c r="K3" s="7">
        <v>1</v>
      </c>
      <c r="L3" s="6" t="s">
        <v>456</v>
      </c>
      <c r="N3" s="7">
        <v>2</v>
      </c>
      <c r="O3" s="7" t="s">
        <v>142</v>
      </c>
    </row>
    <row r="4" spans="1:15" x14ac:dyDescent="0.3">
      <c r="A4" s="7">
        <f>VLOOKUP(B4,Sheet3!A:B,2,0)</f>
        <v>12</v>
      </c>
      <c r="B4" s="6" t="s">
        <v>505</v>
      </c>
      <c r="C4" s="7">
        <v>20220603</v>
      </c>
      <c r="D4" s="7">
        <v>1</v>
      </c>
      <c r="E4" s="7" t="str">
        <f>VLOOKUP(B4,Sheet3!A:F,3,0)</f>
        <v>수학Ⅰ</v>
      </c>
      <c r="F4" s="7" t="str">
        <f>VLOOKUP(B4,Sheet3!A:F,4,0)</f>
        <v>2. 삼각함수</v>
      </c>
      <c r="G4" s="7" t="str">
        <f>VLOOKUP(B4,Sheet3!A:F,5,0)</f>
        <v>C. 삼각함수</v>
      </c>
      <c r="H4" s="7" t="str">
        <f>VLOOKUP(B4,Sheet3!A:F,6,0)</f>
        <v>삼각함수의 값</v>
      </c>
      <c r="I4" s="7" t="str">
        <f t="shared" si="0"/>
        <v>mun/20220603.png</v>
      </c>
      <c r="J4" s="7">
        <v>1</v>
      </c>
      <c r="K4" s="7">
        <v>1</v>
      </c>
      <c r="L4" s="6" t="s">
        <v>457</v>
      </c>
      <c r="N4" s="7">
        <v>3</v>
      </c>
      <c r="O4" s="7" t="s">
        <v>143</v>
      </c>
    </row>
    <row r="5" spans="1:15" x14ac:dyDescent="0.3">
      <c r="A5" s="7">
        <f>VLOOKUP(B5,Sheet3!A:B,2,0)</f>
        <v>23</v>
      </c>
      <c r="B5" s="6" t="s">
        <v>515</v>
      </c>
      <c r="C5" s="7">
        <v>20220604</v>
      </c>
      <c r="D5" s="7">
        <v>2</v>
      </c>
      <c r="E5" s="7" t="str">
        <f>VLOOKUP(B5,Sheet3!A:F,3,0)</f>
        <v>수학Ⅱ</v>
      </c>
      <c r="F5" s="7" t="str">
        <f>VLOOKUP(B5,Sheet3!A:F,4,0)</f>
        <v>1. 함수의 극한과 연속</v>
      </c>
      <c r="G5" s="7" t="str">
        <f>VLOOKUP(B5,Sheet3!A:F,5,0)</f>
        <v>G. 함수의 극한</v>
      </c>
      <c r="H5" s="7" t="str">
        <f>VLOOKUP(B5,Sheet3!A:F,6,0)</f>
        <v>함수의 극한</v>
      </c>
      <c r="I5" s="7" t="str">
        <f t="shared" si="0"/>
        <v>mun/20220604.png</v>
      </c>
      <c r="J5" s="7">
        <v>1</v>
      </c>
      <c r="K5" s="7">
        <v>1</v>
      </c>
      <c r="L5" s="6" t="s">
        <v>458</v>
      </c>
      <c r="N5" s="7">
        <v>4</v>
      </c>
      <c r="O5" s="7" t="s">
        <v>144</v>
      </c>
    </row>
    <row r="6" spans="1:15" x14ac:dyDescent="0.3">
      <c r="A6" s="7">
        <f>VLOOKUP(B6,Sheet3!A:B,2,0)</f>
        <v>29</v>
      </c>
      <c r="B6" s="6" t="s">
        <v>520</v>
      </c>
      <c r="C6" s="7">
        <v>20220605</v>
      </c>
      <c r="D6" s="7">
        <v>2</v>
      </c>
      <c r="E6" s="7" t="str">
        <f>VLOOKUP(B6,Sheet3!A:F,3,0)</f>
        <v>수학Ⅱ</v>
      </c>
      <c r="F6" s="7" t="str">
        <f>VLOOKUP(B6,Sheet3!A:F,4,0)</f>
        <v>2. 미분</v>
      </c>
      <c r="G6" s="7" t="str">
        <f>VLOOKUP(B6,Sheet3!A:F,5,0)</f>
        <v>I. 도함수</v>
      </c>
      <c r="H6" s="7" t="str">
        <f>VLOOKUP(B6,Sheet3!A:F,6,0)</f>
        <v>곱함수의 미분법</v>
      </c>
      <c r="I6" s="7" t="str">
        <f t="shared" si="0"/>
        <v>mun/20220605.png</v>
      </c>
      <c r="J6" s="7">
        <v>3</v>
      </c>
      <c r="K6" s="7">
        <v>1</v>
      </c>
      <c r="L6" s="6" t="s">
        <v>459</v>
      </c>
      <c r="N6" s="7">
        <v>5</v>
      </c>
      <c r="O6" s="7" t="s">
        <v>145</v>
      </c>
    </row>
    <row r="7" spans="1:15" x14ac:dyDescent="0.3">
      <c r="A7" s="7">
        <f>VLOOKUP(B7,Sheet3!A:B,2,0)</f>
        <v>40</v>
      </c>
      <c r="B7" s="6" t="s">
        <v>531</v>
      </c>
      <c r="C7" s="7">
        <v>20220606</v>
      </c>
      <c r="D7" s="7">
        <v>2</v>
      </c>
      <c r="E7" s="7" t="str">
        <f>VLOOKUP(B7,Sheet3!A:F,3,0)</f>
        <v>수학Ⅱ</v>
      </c>
      <c r="F7" s="7" t="str">
        <f>VLOOKUP(B7,Sheet3!A:F,4,0)</f>
        <v>3. 적분</v>
      </c>
      <c r="G7" s="7" t="str">
        <f>VLOOKUP(B7,Sheet3!A:F,5,0)</f>
        <v>L. 정적분</v>
      </c>
      <c r="H7" s="7" t="str">
        <f>VLOOKUP(B7,Sheet3!A:F,6,0)</f>
        <v>곡선 사이의 넓이</v>
      </c>
      <c r="I7" s="7" t="str">
        <f t="shared" si="0"/>
        <v>mun/20220606.png</v>
      </c>
      <c r="J7" s="7">
        <v>4</v>
      </c>
      <c r="K7" s="7">
        <v>1</v>
      </c>
      <c r="L7" s="6" t="s">
        <v>460</v>
      </c>
    </row>
    <row r="8" spans="1:15" x14ac:dyDescent="0.3">
      <c r="A8" s="7">
        <f>VLOOKUP(B8,Sheet3!A:B,2,0)</f>
        <v>16</v>
      </c>
      <c r="B8" s="6" t="s">
        <v>509</v>
      </c>
      <c r="C8" s="7">
        <v>20220607</v>
      </c>
      <c r="D8" s="7">
        <v>2</v>
      </c>
      <c r="E8" s="7" t="str">
        <f>VLOOKUP(B8,Sheet3!A:F,3,0)</f>
        <v>수학Ⅰ</v>
      </c>
      <c r="F8" s="7" t="str">
        <f>VLOOKUP(B8,Sheet3!A:F,4,0)</f>
        <v>3. 수열</v>
      </c>
      <c r="G8" s="7" t="str">
        <f>VLOOKUP(B8,Sheet3!A:F,5,0)</f>
        <v>D. 등차수열과 등비수열</v>
      </c>
      <c r="H8" s="7" t="str">
        <f>VLOOKUP(B8,Sheet3!A:F,6,0)</f>
        <v>등차수열</v>
      </c>
      <c r="I8" s="7" t="str">
        <f t="shared" si="0"/>
        <v>mun/20220607.png</v>
      </c>
      <c r="J8" s="7">
        <v>2</v>
      </c>
      <c r="K8" s="7">
        <v>1</v>
      </c>
      <c r="L8" s="6" t="s">
        <v>461</v>
      </c>
    </row>
    <row r="9" spans="1:15" x14ac:dyDescent="0.3">
      <c r="A9" s="7">
        <f>VLOOKUP(B9,Sheet3!A:B,2,0)</f>
        <v>25</v>
      </c>
      <c r="B9" s="6" t="s">
        <v>517</v>
      </c>
      <c r="C9" s="7">
        <v>20220608</v>
      </c>
      <c r="D9" s="7">
        <v>2</v>
      </c>
      <c r="E9" s="7" t="str">
        <f>VLOOKUP(B9,Sheet3!A:F,3,0)</f>
        <v>수학Ⅱ</v>
      </c>
      <c r="F9" s="7" t="str">
        <f>VLOOKUP(B9,Sheet3!A:F,4,0)</f>
        <v>1. 함수의 극한과 연속</v>
      </c>
      <c r="G9" s="7" t="str">
        <f>VLOOKUP(B9,Sheet3!A:F,5,0)</f>
        <v>H. 함수의 연속</v>
      </c>
      <c r="H9" s="7" t="str">
        <f>VLOOKUP(B9,Sheet3!A:F,6,0)</f>
        <v>함수의 연속</v>
      </c>
      <c r="I9" s="7" t="str">
        <f t="shared" si="0"/>
        <v>mun/20220608.png</v>
      </c>
      <c r="J9" s="7">
        <v>4</v>
      </c>
      <c r="K9" s="7">
        <v>1</v>
      </c>
      <c r="L9" s="6" t="s">
        <v>462</v>
      </c>
    </row>
    <row r="10" spans="1:15" x14ac:dyDescent="0.3">
      <c r="A10" s="7">
        <f>VLOOKUP(B10,Sheet3!A:B,2,0)</f>
        <v>21</v>
      </c>
      <c r="B10" s="6" t="s">
        <v>514</v>
      </c>
      <c r="C10" s="7">
        <v>20220609</v>
      </c>
      <c r="D10" s="7">
        <v>3</v>
      </c>
      <c r="E10" s="7" t="str">
        <f>VLOOKUP(B10,Sheet3!A:F,3,0)</f>
        <v>수학Ⅰ</v>
      </c>
      <c r="F10" s="7" t="str">
        <f>VLOOKUP(B10,Sheet3!A:F,4,0)</f>
        <v>3. 수열</v>
      </c>
      <c r="G10" s="7" t="str">
        <f>VLOOKUP(B10,Sheet3!A:F,5,0)</f>
        <v>F. 수학적 귀납법</v>
      </c>
      <c r="H10" s="7" t="str">
        <f>VLOOKUP(B10,Sheet3!A:F,6,0)</f>
        <v>수열의 귀납적 정의</v>
      </c>
      <c r="I10" s="7" t="str">
        <f t="shared" si="0"/>
        <v>mun/20220609.png</v>
      </c>
      <c r="J10" s="7">
        <v>5</v>
      </c>
      <c r="K10" s="7">
        <v>1</v>
      </c>
      <c r="L10" s="6" t="s">
        <v>463</v>
      </c>
    </row>
    <row r="11" spans="1:15" x14ac:dyDescent="0.3">
      <c r="A11" s="7">
        <f>VLOOKUP(B11,Sheet3!A:B,2,0)</f>
        <v>6</v>
      </c>
      <c r="B11" s="6" t="s">
        <v>499</v>
      </c>
      <c r="C11" s="7">
        <v>20220610</v>
      </c>
      <c r="D11" s="7">
        <v>3</v>
      </c>
      <c r="E11" s="7" t="str">
        <f>VLOOKUP(B11,Sheet3!A:F,3,0)</f>
        <v>수학Ⅰ</v>
      </c>
      <c r="F11" s="7" t="str">
        <f>VLOOKUP(B11,Sheet3!A:F,4,0)</f>
        <v>1. 지수함수와 로그함수</v>
      </c>
      <c r="G11" s="7" t="str">
        <f>VLOOKUP(B11,Sheet3!A:F,5,0)</f>
        <v>B. 지수함수와 로그함수</v>
      </c>
      <c r="H11" s="7" t="str">
        <f>VLOOKUP(B11,Sheet3!A:F,6,0)</f>
        <v>방정식과 부등식에의 활용</v>
      </c>
      <c r="I11" s="7" t="str">
        <f t="shared" si="0"/>
        <v>mun/20220610.png</v>
      </c>
      <c r="J11" s="7">
        <v>2</v>
      </c>
      <c r="K11" s="7">
        <v>1</v>
      </c>
      <c r="L11" s="6" t="s">
        <v>464</v>
      </c>
    </row>
    <row r="12" spans="1:15" x14ac:dyDescent="0.3">
      <c r="A12" s="7">
        <f>VLOOKUP(B12,Sheet3!A:B,2,0)</f>
        <v>40</v>
      </c>
      <c r="B12" s="6" t="s">
        <v>531</v>
      </c>
      <c r="C12" s="7">
        <v>20220611</v>
      </c>
      <c r="D12" s="7">
        <v>3</v>
      </c>
      <c r="E12" s="7" t="str">
        <f>VLOOKUP(B12,Sheet3!A:F,3,0)</f>
        <v>수학Ⅱ</v>
      </c>
      <c r="F12" s="7" t="str">
        <f>VLOOKUP(B12,Sheet3!A:F,4,0)</f>
        <v>3. 적분</v>
      </c>
      <c r="G12" s="7" t="str">
        <f>VLOOKUP(B12,Sheet3!A:F,5,0)</f>
        <v>L. 정적분</v>
      </c>
      <c r="H12" s="7" t="str">
        <f>VLOOKUP(B12,Sheet3!A:F,6,0)</f>
        <v>곡선 사이의 넓이</v>
      </c>
      <c r="I12" s="7" t="str">
        <f t="shared" si="0"/>
        <v>mun/20220611.png</v>
      </c>
      <c r="J12" s="7">
        <v>2</v>
      </c>
      <c r="K12" s="7">
        <v>1</v>
      </c>
      <c r="L12" s="6" t="s">
        <v>465</v>
      </c>
    </row>
    <row r="13" spans="1:15" x14ac:dyDescent="0.3">
      <c r="A13" s="7">
        <f>VLOOKUP(B13,Sheet3!A:B,2,0)</f>
        <v>15</v>
      </c>
      <c r="B13" s="6" t="s">
        <v>508</v>
      </c>
      <c r="C13" s="7">
        <v>20220612</v>
      </c>
      <c r="D13" s="7">
        <v>4</v>
      </c>
      <c r="E13" s="7" t="str">
        <f>VLOOKUP(B13,Sheet3!A:F,3,0)</f>
        <v>수학Ⅰ</v>
      </c>
      <c r="F13" s="7" t="str">
        <f>VLOOKUP(B13,Sheet3!A:F,4,0)</f>
        <v>2. 삼각함수</v>
      </c>
      <c r="G13" s="7" t="str">
        <f>VLOOKUP(B13,Sheet3!A:F,5,0)</f>
        <v>C. 삼각함수</v>
      </c>
      <c r="H13" s="7" t="str">
        <f>VLOOKUP(B13,Sheet3!A:F,6,0)</f>
        <v>사인법칙과 코사인법칙</v>
      </c>
      <c r="I13" s="7" t="str">
        <f t="shared" si="0"/>
        <v>mun/20220612.png</v>
      </c>
      <c r="J13" s="7">
        <v>3</v>
      </c>
      <c r="K13" s="7">
        <v>1</v>
      </c>
      <c r="L13" s="6" t="s">
        <v>466</v>
      </c>
    </row>
    <row r="14" spans="1:15" x14ac:dyDescent="0.3">
      <c r="A14" s="7">
        <f>VLOOKUP(B14,Sheet3!A:B,2,0)</f>
        <v>20</v>
      </c>
      <c r="B14" s="6" t="s">
        <v>513</v>
      </c>
      <c r="C14" s="7">
        <v>20220613</v>
      </c>
      <c r="D14" s="7">
        <v>4</v>
      </c>
      <c r="E14" s="7" t="str">
        <f>VLOOKUP(B14,Sheet3!A:F,3,0)</f>
        <v>수학Ⅰ</v>
      </c>
      <c r="F14" s="7" t="str">
        <f>VLOOKUP(B14,Sheet3!A:F,4,0)</f>
        <v>3. 수열</v>
      </c>
      <c r="G14" s="7" t="str">
        <f>VLOOKUP(B14,Sheet3!A:F,5,0)</f>
        <v>E. 수열의 합</v>
      </c>
      <c r="H14" s="7" t="str">
        <f>VLOOKUP(B14,Sheet3!A:F,6,0)</f>
        <v>여러 가지 수열의 합</v>
      </c>
      <c r="I14" s="7" t="str">
        <f t="shared" si="0"/>
        <v>mun/20220613.png</v>
      </c>
      <c r="J14" s="7">
        <v>5</v>
      </c>
      <c r="K14" s="7">
        <v>1</v>
      </c>
      <c r="L14" s="6" t="s">
        <v>467</v>
      </c>
    </row>
    <row r="15" spans="1:15" x14ac:dyDescent="0.3">
      <c r="A15" s="7">
        <f>VLOOKUP(B15,Sheet3!A:B,2,0)</f>
        <v>30</v>
      </c>
      <c r="B15" s="6" t="s">
        <v>521</v>
      </c>
      <c r="C15" s="7">
        <v>20220614</v>
      </c>
      <c r="D15" s="7">
        <v>4</v>
      </c>
      <c r="E15" s="7" t="str">
        <f>VLOOKUP(B15,Sheet3!A:F,3,0)</f>
        <v>수학Ⅱ</v>
      </c>
      <c r="F15" s="7" t="str">
        <f>VLOOKUP(B15,Sheet3!A:F,4,0)</f>
        <v>2. 미분</v>
      </c>
      <c r="G15" s="7" t="str">
        <f>VLOOKUP(B15,Sheet3!A:F,5,0)</f>
        <v>I. 도함수</v>
      </c>
      <c r="H15" s="7" t="str">
        <f>VLOOKUP(B15,Sheet3!A:F,6,0)</f>
        <v>미분가능성</v>
      </c>
      <c r="I15" s="7" t="str">
        <f t="shared" si="0"/>
        <v>mun/20220614.png</v>
      </c>
      <c r="J15" s="7">
        <v>3</v>
      </c>
      <c r="K15" s="7">
        <v>1</v>
      </c>
      <c r="L15" s="6" t="s">
        <v>468</v>
      </c>
    </row>
    <row r="16" spans="1:15" x14ac:dyDescent="0.3">
      <c r="A16" s="7">
        <f>VLOOKUP(B16,Sheet3!A:B,2,0)</f>
        <v>13</v>
      </c>
      <c r="B16" s="6" t="s">
        <v>506</v>
      </c>
      <c r="C16" s="7">
        <v>20220615</v>
      </c>
      <c r="D16" s="7">
        <v>5</v>
      </c>
      <c r="E16" s="7" t="str">
        <f>VLOOKUP(B16,Sheet3!A:F,3,0)</f>
        <v>수학Ⅰ</v>
      </c>
      <c r="F16" s="7" t="str">
        <f>VLOOKUP(B16,Sheet3!A:F,4,0)</f>
        <v>2. 삼각함수</v>
      </c>
      <c r="G16" s="7" t="str">
        <f>VLOOKUP(B16,Sheet3!A:F,5,0)</f>
        <v>C. 삼각함수</v>
      </c>
      <c r="H16" s="7" t="str">
        <f>VLOOKUP(B16,Sheet3!A:F,6,0)</f>
        <v>방정식과 부등식에의 활용</v>
      </c>
      <c r="I16" s="7" t="str">
        <f t="shared" si="0"/>
        <v>mun/20220615.png</v>
      </c>
      <c r="J16" s="7">
        <v>2</v>
      </c>
      <c r="K16" s="7">
        <v>1</v>
      </c>
      <c r="L16" s="6" t="s">
        <v>469</v>
      </c>
    </row>
    <row r="17" spans="1:12" x14ac:dyDescent="0.3">
      <c r="A17" s="7">
        <f>VLOOKUP(B17,Sheet3!A:B,2,0)</f>
        <v>3</v>
      </c>
      <c r="B17" s="6" t="s">
        <v>496</v>
      </c>
      <c r="C17" s="7">
        <v>20220616</v>
      </c>
      <c r="D17" s="7">
        <v>1</v>
      </c>
      <c r="E17" s="7" t="str">
        <f>VLOOKUP(B17,Sheet3!A:F,3,0)</f>
        <v>수학Ⅰ</v>
      </c>
      <c r="F17" s="7" t="str">
        <f>VLOOKUP(B17,Sheet3!A:F,4,0)</f>
        <v>1. 지수함수와 로그함수</v>
      </c>
      <c r="G17" s="7" t="str">
        <f>VLOOKUP(B17,Sheet3!A:F,5,0)</f>
        <v>A. 지수와 로그</v>
      </c>
      <c r="H17" s="7" t="str">
        <f>VLOOKUP(B17,Sheet3!A:F,6,0)</f>
        <v>로그의 연산</v>
      </c>
      <c r="I17" s="7" t="str">
        <f t="shared" si="0"/>
        <v>mun/20220616.png</v>
      </c>
      <c r="J17" s="7">
        <v>2</v>
      </c>
      <c r="K17" s="7">
        <v>1</v>
      </c>
      <c r="L17" s="6" t="s">
        <v>470</v>
      </c>
    </row>
    <row r="18" spans="1:12" x14ac:dyDescent="0.3">
      <c r="A18" s="7">
        <f>VLOOKUP(B18,Sheet3!A:B,2,0)</f>
        <v>33</v>
      </c>
      <c r="B18" s="6" t="s">
        <v>524</v>
      </c>
      <c r="C18" s="7">
        <v>20220617</v>
      </c>
      <c r="D18" s="7">
        <v>1</v>
      </c>
      <c r="E18" s="7" t="str">
        <f>VLOOKUP(B18,Sheet3!A:F,3,0)</f>
        <v>수학Ⅱ</v>
      </c>
      <c r="F18" s="7" t="str">
        <f>VLOOKUP(B18,Sheet3!A:F,4,0)</f>
        <v>2. 미분</v>
      </c>
      <c r="G18" s="7" t="str">
        <f>VLOOKUP(B18,Sheet3!A:F,5,0)</f>
        <v>J. 도함수의 활용</v>
      </c>
      <c r="H18" s="7" t="str">
        <f>VLOOKUP(B18,Sheet3!A:F,6,0)</f>
        <v>극대와 극소</v>
      </c>
      <c r="I18" s="7" t="str">
        <f t="shared" si="0"/>
        <v>mun/20220617.png</v>
      </c>
      <c r="J18" s="7">
        <v>11</v>
      </c>
      <c r="K18" s="7">
        <v>1</v>
      </c>
      <c r="L18" s="6" t="s">
        <v>471</v>
      </c>
    </row>
    <row r="19" spans="1:12" x14ac:dyDescent="0.3">
      <c r="A19" s="7">
        <f>VLOOKUP(B19,Sheet3!A:B,2,0)</f>
        <v>17</v>
      </c>
      <c r="B19" s="6" t="s">
        <v>510</v>
      </c>
      <c r="C19" s="7">
        <v>20220618</v>
      </c>
      <c r="D19" s="7">
        <v>3</v>
      </c>
      <c r="E19" s="7" t="str">
        <f>VLOOKUP(B19,Sheet3!A:F,3,0)</f>
        <v>수학Ⅰ</v>
      </c>
      <c r="F19" s="7" t="str">
        <f>VLOOKUP(B19,Sheet3!A:F,4,0)</f>
        <v>3. 수열</v>
      </c>
      <c r="G19" s="7" t="str">
        <f>VLOOKUP(B19,Sheet3!A:F,5,0)</f>
        <v>D. 등차수열과 등비수열</v>
      </c>
      <c r="H19" s="7" t="str">
        <f>VLOOKUP(B19,Sheet3!A:F,6,0)</f>
        <v>등비수열</v>
      </c>
      <c r="I19" s="7" t="str">
        <f t="shared" si="0"/>
        <v>mun/20220618.png</v>
      </c>
      <c r="J19" s="7">
        <v>4</v>
      </c>
      <c r="K19" s="7">
        <v>1</v>
      </c>
      <c r="L19" s="6" t="s">
        <v>472</v>
      </c>
    </row>
    <row r="20" spans="1:12" x14ac:dyDescent="0.3">
      <c r="A20" s="7">
        <f>VLOOKUP(B20,Sheet3!A:B,2,0)</f>
        <v>41</v>
      </c>
      <c r="B20" s="6" t="s">
        <v>532</v>
      </c>
      <c r="C20" s="7">
        <v>20220619</v>
      </c>
      <c r="D20" s="7">
        <v>3</v>
      </c>
      <c r="E20" s="7" t="str">
        <f>VLOOKUP(B20,Sheet3!A:F,3,0)</f>
        <v>수학Ⅱ</v>
      </c>
      <c r="F20" s="7" t="str">
        <f>VLOOKUP(B20,Sheet3!A:F,4,0)</f>
        <v>3. 적분</v>
      </c>
      <c r="G20" s="7" t="str">
        <f>VLOOKUP(B20,Sheet3!A:F,5,0)</f>
        <v>L. 정적분</v>
      </c>
      <c r="H20" s="7" t="str">
        <f>VLOOKUP(B20,Sheet3!A:F,6,0)</f>
        <v>속도와 거리</v>
      </c>
      <c r="I20" s="7" t="str">
        <f t="shared" si="0"/>
        <v>mun/20220619.png</v>
      </c>
      <c r="J20" s="7">
        <v>6</v>
      </c>
      <c r="K20" s="7">
        <v>1</v>
      </c>
      <c r="L20" s="6" t="s">
        <v>473</v>
      </c>
    </row>
    <row r="21" spans="1:12" x14ac:dyDescent="0.3">
      <c r="A21" s="7">
        <f>VLOOKUP(B21,Sheet3!A:B,2,0)</f>
        <v>39</v>
      </c>
      <c r="B21" s="6" t="s">
        <v>530</v>
      </c>
      <c r="C21" s="7">
        <v>20220620</v>
      </c>
      <c r="D21" s="7">
        <v>4</v>
      </c>
      <c r="E21" s="7" t="str">
        <f>VLOOKUP(B21,Sheet3!A:F,3,0)</f>
        <v>수학Ⅱ</v>
      </c>
      <c r="F21" s="7" t="str">
        <f>VLOOKUP(B21,Sheet3!A:F,4,0)</f>
        <v>3. 적분</v>
      </c>
      <c r="G21" s="7" t="str">
        <f>VLOOKUP(B21,Sheet3!A:F,5,0)</f>
        <v>L. 정적분</v>
      </c>
      <c r="H21" s="7" t="str">
        <f>VLOOKUP(B21,Sheet3!A:F,6,0)</f>
        <v>미적분학의 기본 정리</v>
      </c>
      <c r="I21" s="7" t="str">
        <f t="shared" si="0"/>
        <v>mun/20220620.png</v>
      </c>
      <c r="J21" s="7">
        <v>8</v>
      </c>
      <c r="K21" s="7">
        <v>1</v>
      </c>
      <c r="L21" s="6" t="s">
        <v>474</v>
      </c>
    </row>
    <row r="22" spans="1:12" x14ac:dyDescent="0.3">
      <c r="A22" s="7">
        <f>VLOOKUP(B22,Sheet3!A:B,2,0)</f>
        <v>1</v>
      </c>
      <c r="B22" s="6" t="s">
        <v>494</v>
      </c>
      <c r="C22" s="7">
        <v>20220621</v>
      </c>
      <c r="D22" s="7">
        <v>4</v>
      </c>
      <c r="E22" s="7" t="str">
        <f>VLOOKUP(B22,Sheet3!A:F,3,0)</f>
        <v>수학Ⅰ</v>
      </c>
      <c r="F22" s="7" t="str">
        <f>VLOOKUP(B22,Sheet3!A:F,4,0)</f>
        <v>1. 지수함수와 로그함수</v>
      </c>
      <c r="G22" s="7" t="str">
        <f>VLOOKUP(B22,Sheet3!A:F,5,0)</f>
        <v>A. 지수와 로그</v>
      </c>
      <c r="H22" s="7" t="str">
        <f>VLOOKUP(B22,Sheet3!A:F,6,0)</f>
        <v>거듭제곱근</v>
      </c>
      <c r="I22" s="7" t="str">
        <f t="shared" si="0"/>
        <v>mun/20220621.png</v>
      </c>
      <c r="J22" s="7">
        <v>24</v>
      </c>
      <c r="K22" s="7">
        <v>1</v>
      </c>
      <c r="L22" s="6" t="s">
        <v>475</v>
      </c>
    </row>
    <row r="23" spans="1:12" x14ac:dyDescent="0.3">
      <c r="A23" s="7">
        <f>VLOOKUP(B23,Sheet3!A:B,2,0)</f>
        <v>35</v>
      </c>
      <c r="B23" s="6" t="s">
        <v>526</v>
      </c>
      <c r="C23" s="7">
        <v>20220622</v>
      </c>
      <c r="D23" s="7">
        <v>5</v>
      </c>
      <c r="E23" s="7" t="str">
        <f>VLOOKUP(B23,Sheet3!A:F,3,0)</f>
        <v>수학Ⅱ</v>
      </c>
      <c r="F23" s="7" t="str">
        <f>VLOOKUP(B23,Sheet3!A:F,4,0)</f>
        <v>2. 미분</v>
      </c>
      <c r="G23" s="7" t="str">
        <f>VLOOKUP(B23,Sheet3!A:F,5,0)</f>
        <v>J. 도함수의 활용</v>
      </c>
      <c r="H23" s="7" t="str">
        <f>VLOOKUP(B23,Sheet3!A:F,6,0)</f>
        <v>함수의 추론</v>
      </c>
      <c r="I23" s="7" t="str">
        <f t="shared" si="0"/>
        <v>mun/20220622.png</v>
      </c>
      <c r="J23" s="7">
        <v>61</v>
      </c>
      <c r="K23" s="7">
        <v>1</v>
      </c>
      <c r="L23" s="6" t="s">
        <v>476</v>
      </c>
    </row>
    <row r="24" spans="1:12" x14ac:dyDescent="0.3">
      <c r="A24" s="7">
        <f>VLOOKUP(B24,Sheet3!A:B,2,0)</f>
        <v>47</v>
      </c>
      <c r="B24" s="6" t="s">
        <v>555</v>
      </c>
      <c r="C24" s="7">
        <v>20220623</v>
      </c>
      <c r="D24" s="7">
        <v>1</v>
      </c>
      <c r="E24" s="7" t="str">
        <f>VLOOKUP(B24,Sheet3!A:F,3,0)</f>
        <v>확률과 통계</v>
      </c>
      <c r="F24" s="7" t="str">
        <f>VLOOKUP(B24,Sheet3!A:F,4,0)</f>
        <v>1. 경우의 수</v>
      </c>
      <c r="G24" s="7" t="str">
        <f>VLOOKUP(B24,Sheet3!A:F,5,0)</f>
        <v>N. 이항정리와 이항계수</v>
      </c>
      <c r="H24" s="7" t="str">
        <f>VLOOKUP(B24,Sheet3!A:F,6,0)</f>
        <v>전개식의 계수</v>
      </c>
      <c r="I24" s="7" t="str">
        <f t="shared" si="0"/>
        <v>mun/20220623.png</v>
      </c>
      <c r="J24" s="7">
        <v>4</v>
      </c>
      <c r="K24" s="7">
        <v>1</v>
      </c>
      <c r="L24" s="6" t="s">
        <v>560</v>
      </c>
    </row>
    <row r="25" spans="1:12" x14ac:dyDescent="0.3">
      <c r="A25" s="7">
        <f>VLOOKUP(B25,Sheet3!A:B,2,0)</f>
        <v>49</v>
      </c>
      <c r="B25" s="6" t="s">
        <v>669</v>
      </c>
      <c r="C25" s="7">
        <v>20220625</v>
      </c>
      <c r="D25" s="7">
        <v>2</v>
      </c>
      <c r="E25" s="7" t="str">
        <f>VLOOKUP(B25,Sheet3!A:F,3,0)</f>
        <v>확률과 통계</v>
      </c>
      <c r="F25" s="7" t="str">
        <f>VLOOKUP(B25,Sheet3!A:F,4,0)</f>
        <v>2. 확률</v>
      </c>
      <c r="G25" s="7" t="str">
        <f>VLOOKUP(B25,Sheet3!A:F,5,0)</f>
        <v>O. 수학적 확률</v>
      </c>
      <c r="H25" s="7" t="str">
        <f>VLOOKUP(B25,Sheet3!A:F,6,0)</f>
        <v>수학적 확률</v>
      </c>
      <c r="I25" s="7" t="str">
        <f>"mun/"&amp;C25&amp;".png"</f>
        <v>mun/20220625.png</v>
      </c>
      <c r="J25" s="7">
        <v>3</v>
      </c>
      <c r="K25" s="7">
        <v>1</v>
      </c>
      <c r="L25" s="6" t="s">
        <v>562</v>
      </c>
    </row>
    <row r="26" spans="1:12" x14ac:dyDescent="0.3">
      <c r="A26" s="7">
        <f>VLOOKUP(B26,Sheet3!A:B,2,0)</f>
        <v>49</v>
      </c>
      <c r="B26" s="6" t="s">
        <v>669</v>
      </c>
      <c r="C26" s="7">
        <v>20220630</v>
      </c>
      <c r="D26" s="7">
        <v>5</v>
      </c>
      <c r="E26" s="7" t="str">
        <f>VLOOKUP(B26,Sheet3!A:F,3,0)</f>
        <v>확률과 통계</v>
      </c>
      <c r="F26" s="7" t="str">
        <f>VLOOKUP(B26,Sheet3!A:F,4,0)</f>
        <v>2. 확률</v>
      </c>
      <c r="G26" s="7" t="str">
        <f>VLOOKUP(B26,Sheet3!A:F,5,0)</f>
        <v>O. 수학적 확률</v>
      </c>
      <c r="H26" s="7" t="str">
        <f>VLOOKUP(B26,Sheet3!A:F,6,0)</f>
        <v>수학적 확률</v>
      </c>
      <c r="I26" s="7" t="str">
        <f>"mun/"&amp;C26&amp;".png"</f>
        <v>mun/20220630.png</v>
      </c>
      <c r="J26" s="7">
        <v>47</v>
      </c>
      <c r="K26" s="7">
        <v>1</v>
      </c>
      <c r="L26" s="6" t="s">
        <v>566</v>
      </c>
    </row>
    <row r="27" spans="1:12" x14ac:dyDescent="0.3">
      <c r="A27" s="7">
        <f>VLOOKUP(B27,Sheet3!A:B,2,0)</f>
        <v>46</v>
      </c>
      <c r="B27" s="6" t="s">
        <v>644</v>
      </c>
      <c r="C27" s="7">
        <v>20220626</v>
      </c>
      <c r="D27" s="7">
        <v>2</v>
      </c>
      <c r="E27" s="7" t="str">
        <f>VLOOKUP(B27,Sheet3!A:F,3,0)</f>
        <v>확률과 통계</v>
      </c>
      <c r="F27" s="7" t="str">
        <f>VLOOKUP(B27,Sheet3!A:F,4,0)</f>
        <v>1. 경우의 수</v>
      </c>
      <c r="G27" s="7" t="str">
        <f>VLOOKUP(B27,Sheet3!A:F,5,0)</f>
        <v>M. 여러 가지 순열과 중복 조합</v>
      </c>
      <c r="H27" s="7" t="str">
        <f>VLOOKUP(B27,Sheet3!A:F,6,0)</f>
        <v>중복 조합</v>
      </c>
      <c r="I27" s="7" t="str">
        <f>"mun/"&amp;C27&amp;".png"</f>
        <v>mun/20220626.png</v>
      </c>
      <c r="J27" s="7">
        <v>3</v>
      </c>
      <c r="K27" s="7">
        <v>1</v>
      </c>
      <c r="L27" s="8" t="s">
        <v>645</v>
      </c>
    </row>
    <row r="28" spans="1:12" x14ac:dyDescent="0.3">
      <c r="A28" s="7">
        <f>VLOOKUP(B28,Sheet3!A:B,2,0)</f>
        <v>49</v>
      </c>
      <c r="B28" s="6" t="s">
        <v>669</v>
      </c>
      <c r="C28" s="7">
        <v>20220924</v>
      </c>
      <c r="D28" s="7">
        <v>1</v>
      </c>
      <c r="E28" s="7" t="str">
        <f>VLOOKUP(B28,Sheet3!A:F,3,0)</f>
        <v>확률과 통계</v>
      </c>
      <c r="F28" s="7" t="str">
        <f>VLOOKUP(B28,Sheet3!A:F,4,0)</f>
        <v>2. 확률</v>
      </c>
      <c r="G28" s="7" t="str">
        <f>VLOOKUP(B28,Sheet3!A:F,5,0)</f>
        <v>O. 수학적 확률</v>
      </c>
      <c r="H28" s="7" t="str">
        <f>VLOOKUP(B28,Sheet3!A:F,6,0)</f>
        <v>수학적 확률</v>
      </c>
      <c r="I28" s="7" t="str">
        <f>"mun/"&amp;C28&amp;".png"</f>
        <v>mun/20220924.png</v>
      </c>
      <c r="J28" s="7">
        <v>3</v>
      </c>
      <c r="K28" s="7">
        <v>1</v>
      </c>
      <c r="L28" s="6" t="s">
        <v>568</v>
      </c>
    </row>
    <row r="29" spans="1:12" x14ac:dyDescent="0.3">
      <c r="A29" s="7">
        <f>VLOOKUP(B29,Sheet3!A:B,2,0)</f>
        <v>45</v>
      </c>
      <c r="B29" s="6" t="s">
        <v>559</v>
      </c>
      <c r="C29" s="7">
        <v>20220628</v>
      </c>
      <c r="D29" s="7">
        <v>4</v>
      </c>
      <c r="E29" s="7" t="str">
        <f>VLOOKUP(B29,Sheet3!A:F,3,0)</f>
        <v>확률과 통계</v>
      </c>
      <c r="F29" s="7" t="str">
        <f>VLOOKUP(B29,Sheet3!A:F,4,0)</f>
        <v>1. 경우의 수</v>
      </c>
      <c r="G29" s="7" t="str">
        <f>VLOOKUP(B29,Sheet3!A:F,5,0)</f>
        <v>M. 여러 가지 순열과 중복 조합</v>
      </c>
      <c r="H29" s="7" t="str">
        <f>VLOOKUP(B29,Sheet3!A:F,6,0)</f>
        <v>같은 것이 있는 순열</v>
      </c>
      <c r="I29" s="7" t="str">
        <f>"mun/"&amp;C29&amp;".png"</f>
        <v>mun/20220628.png</v>
      </c>
      <c r="J29" s="7">
        <v>5</v>
      </c>
      <c r="K29" s="7">
        <v>1</v>
      </c>
      <c r="L29" s="6" t="s">
        <v>564</v>
      </c>
    </row>
    <row r="30" spans="1:12" x14ac:dyDescent="0.3">
      <c r="A30" s="7">
        <f>VLOOKUP(B30,Sheet3!A:B,2,0)</f>
        <v>43</v>
      </c>
      <c r="B30" s="6" t="s">
        <v>493</v>
      </c>
      <c r="C30" s="7">
        <v>20220629</v>
      </c>
      <c r="D30" s="7">
        <v>4</v>
      </c>
      <c r="E30" s="7" t="str">
        <f>VLOOKUP(B30,Sheet3!A:F,3,0)</f>
        <v>확률과 통계</v>
      </c>
      <c r="F30" s="7" t="str">
        <f>VLOOKUP(B30,Sheet3!A:F,4,0)</f>
        <v>1. 경우의 수</v>
      </c>
      <c r="G30" s="7" t="str">
        <f>VLOOKUP(B30,Sheet3!A:F,5,0)</f>
        <v>M. 여러 가지 순열과 중복 조합</v>
      </c>
      <c r="H30" s="7" t="str">
        <f>VLOOKUP(B30,Sheet3!A:F,6,0)</f>
        <v>원순열</v>
      </c>
      <c r="I30" s="7" t="str">
        <f>"mun/"&amp;C30&amp;".png"</f>
        <v>mun/20220629.png</v>
      </c>
      <c r="J30" s="7">
        <v>48</v>
      </c>
      <c r="K30" s="7">
        <v>1</v>
      </c>
      <c r="L30" s="6" t="s">
        <v>565</v>
      </c>
    </row>
    <row r="31" spans="1:12" x14ac:dyDescent="0.3">
      <c r="A31" s="7">
        <f>VLOOKUP(B31,Sheet3!A:B,2,0)</f>
        <v>49</v>
      </c>
      <c r="B31" s="6" t="s">
        <v>669</v>
      </c>
      <c r="C31" s="7">
        <v>20221126</v>
      </c>
      <c r="D31" s="7">
        <v>2</v>
      </c>
      <c r="E31" s="7" t="str">
        <f>VLOOKUP(B31,Sheet3!A:F,3,0)</f>
        <v>확률과 통계</v>
      </c>
      <c r="F31" s="7" t="str">
        <f>VLOOKUP(B31,Sheet3!A:F,4,0)</f>
        <v>2. 확률</v>
      </c>
      <c r="G31" s="7" t="str">
        <f>VLOOKUP(B31,Sheet3!A:F,5,0)</f>
        <v>O. 수학적 확률</v>
      </c>
      <c r="H31" s="7" t="str">
        <f>VLOOKUP(B31,Sheet3!A:F,6,0)</f>
        <v>수학적 확률</v>
      </c>
      <c r="I31" s="7" t="str">
        <f>"mun/"&amp;C31&amp;".png"</f>
        <v>mun/20221126.png</v>
      </c>
      <c r="J31" s="7">
        <v>3</v>
      </c>
      <c r="K31" s="7">
        <v>1</v>
      </c>
      <c r="L31" s="6" t="s">
        <v>578</v>
      </c>
    </row>
    <row r="32" spans="1:12" x14ac:dyDescent="0.3">
      <c r="A32" s="7">
        <f>VLOOKUP(B32,Sheet3!A:B,2,0)</f>
        <v>2</v>
      </c>
      <c r="B32" s="6" t="s">
        <v>495</v>
      </c>
      <c r="C32" s="7">
        <v>20220901</v>
      </c>
      <c r="D32" s="7">
        <v>1</v>
      </c>
      <c r="E32" s="7" t="str">
        <f>VLOOKUP(B32,Sheet3!A:F,3,0)</f>
        <v>수학Ⅰ</v>
      </c>
      <c r="F32" s="7" t="str">
        <f>VLOOKUP(B32,Sheet3!A:F,4,0)</f>
        <v>1. 지수함수와 로그함수</v>
      </c>
      <c r="G32" s="7" t="str">
        <f>VLOOKUP(B32,Sheet3!A:F,5,0)</f>
        <v>A. 지수와 로그</v>
      </c>
      <c r="H32" s="7" t="str">
        <f>VLOOKUP(B32,Sheet3!A:F,6,0)</f>
        <v>지수의 연산</v>
      </c>
      <c r="I32" s="7" t="str">
        <f>"mun/"&amp;C32&amp;".png"</f>
        <v>mun/20220901.png</v>
      </c>
      <c r="J32" s="7">
        <v>1</v>
      </c>
      <c r="K32" s="7">
        <v>1</v>
      </c>
      <c r="L32" s="6" t="s">
        <v>432</v>
      </c>
    </row>
    <row r="33" spans="1:12" x14ac:dyDescent="0.3">
      <c r="A33" s="7">
        <f>VLOOKUP(B33,Sheet3!A:B,2,0)</f>
        <v>28</v>
      </c>
      <c r="B33" s="6" t="s">
        <v>519</v>
      </c>
      <c r="C33" s="7">
        <v>20220902</v>
      </c>
      <c r="D33" s="7">
        <v>1</v>
      </c>
      <c r="E33" s="7" t="str">
        <f>VLOOKUP(B33,Sheet3!A:F,3,0)</f>
        <v>수학Ⅱ</v>
      </c>
      <c r="F33" s="7" t="str">
        <f>VLOOKUP(B33,Sheet3!A:F,4,0)</f>
        <v>2. 미분</v>
      </c>
      <c r="G33" s="7" t="str">
        <f>VLOOKUP(B33,Sheet3!A:F,5,0)</f>
        <v>I. 도함수</v>
      </c>
      <c r="H33" s="7" t="str">
        <f>VLOOKUP(B33,Sheet3!A:F,6,0)</f>
        <v>미분계수와 도함수</v>
      </c>
      <c r="I33" s="7" t="str">
        <f>"mun/"&amp;C33&amp;".png"</f>
        <v>mun/20220902.png</v>
      </c>
      <c r="J33" s="7">
        <v>5</v>
      </c>
      <c r="K33" s="7">
        <v>1</v>
      </c>
      <c r="L33" s="6" t="s">
        <v>433</v>
      </c>
    </row>
    <row r="34" spans="1:12" x14ac:dyDescent="0.3">
      <c r="A34" s="7">
        <f>VLOOKUP(B34,Sheet3!A:B,2,0)</f>
        <v>17</v>
      </c>
      <c r="B34" s="6" t="s">
        <v>510</v>
      </c>
      <c r="C34" s="7">
        <v>20220903</v>
      </c>
      <c r="D34" s="7">
        <v>1</v>
      </c>
      <c r="E34" s="7" t="str">
        <f>VLOOKUP(B34,Sheet3!A:F,3,0)</f>
        <v>수학Ⅰ</v>
      </c>
      <c r="F34" s="7" t="str">
        <f>VLOOKUP(B34,Sheet3!A:F,4,0)</f>
        <v>3. 수열</v>
      </c>
      <c r="G34" s="7" t="str">
        <f>VLOOKUP(B34,Sheet3!A:F,5,0)</f>
        <v>D. 등차수열과 등비수열</v>
      </c>
      <c r="H34" s="7" t="str">
        <f>VLOOKUP(B34,Sheet3!A:F,6,0)</f>
        <v>등비수열</v>
      </c>
      <c r="I34" s="7" t="str">
        <f>"mun/"&amp;C34&amp;".png"</f>
        <v>mun/20220903.png</v>
      </c>
      <c r="J34" s="7">
        <v>5</v>
      </c>
      <c r="K34" s="7">
        <v>1</v>
      </c>
      <c r="L34" s="6" t="s">
        <v>434</v>
      </c>
    </row>
    <row r="35" spans="1:12" x14ac:dyDescent="0.3">
      <c r="A35" s="7">
        <f>VLOOKUP(B35,Sheet3!A:B,2,0)</f>
        <v>25</v>
      </c>
      <c r="B35" s="6" t="s">
        <v>517</v>
      </c>
      <c r="C35" s="7">
        <v>20220904</v>
      </c>
      <c r="D35" s="7">
        <v>2</v>
      </c>
      <c r="E35" s="7" t="str">
        <f>VLOOKUP(B35,Sheet3!A:F,3,0)</f>
        <v>수학Ⅱ</v>
      </c>
      <c r="F35" s="7" t="str">
        <f>VLOOKUP(B35,Sheet3!A:F,4,0)</f>
        <v>1. 함수의 극한과 연속</v>
      </c>
      <c r="G35" s="7" t="str">
        <f>VLOOKUP(B35,Sheet3!A:F,5,0)</f>
        <v>H. 함수의 연속</v>
      </c>
      <c r="H35" s="7" t="str">
        <f>VLOOKUP(B35,Sheet3!A:F,6,0)</f>
        <v>함수의 연속</v>
      </c>
      <c r="I35" s="7" t="str">
        <f>"mun/"&amp;C35&amp;".png"</f>
        <v>mun/20220904.png</v>
      </c>
      <c r="J35" s="7">
        <v>4</v>
      </c>
      <c r="K35" s="7">
        <v>1</v>
      </c>
      <c r="L35" s="6" t="s">
        <v>435</v>
      </c>
    </row>
    <row r="36" spans="1:12" x14ac:dyDescent="0.3">
      <c r="A36" s="7">
        <f>VLOOKUP(B36,Sheet3!A:B,2,0)</f>
        <v>33</v>
      </c>
      <c r="B36" s="6" t="s">
        <v>524</v>
      </c>
      <c r="C36" s="7">
        <v>20220905</v>
      </c>
      <c r="D36" s="7">
        <v>2</v>
      </c>
      <c r="E36" s="7" t="str">
        <f>VLOOKUP(B36,Sheet3!A:F,3,0)</f>
        <v>수학Ⅱ</v>
      </c>
      <c r="F36" s="7" t="str">
        <f>VLOOKUP(B36,Sheet3!A:F,4,0)</f>
        <v>2. 미분</v>
      </c>
      <c r="G36" s="7" t="str">
        <f>VLOOKUP(B36,Sheet3!A:F,5,0)</f>
        <v>J. 도함수의 활용</v>
      </c>
      <c r="H36" s="7" t="str">
        <f>VLOOKUP(B36,Sheet3!A:F,6,0)</f>
        <v>극대와 극소</v>
      </c>
      <c r="I36" s="7" t="str">
        <f>"mun/"&amp;C36&amp;".png"</f>
        <v>mun/20220905.png</v>
      </c>
      <c r="J36" s="7">
        <v>3</v>
      </c>
      <c r="K36" s="7">
        <v>1</v>
      </c>
      <c r="L36" s="6" t="s">
        <v>436</v>
      </c>
    </row>
    <row r="37" spans="1:12" x14ac:dyDescent="0.3">
      <c r="A37" s="7">
        <f>VLOOKUP(B37,Sheet3!A:B,2,0)</f>
        <v>12</v>
      </c>
      <c r="B37" s="6" t="s">
        <v>505</v>
      </c>
      <c r="C37" s="7">
        <v>20220906</v>
      </c>
      <c r="D37" s="7">
        <v>2</v>
      </c>
      <c r="E37" s="7" t="str">
        <f>VLOOKUP(B37,Sheet3!A:F,3,0)</f>
        <v>수학Ⅰ</v>
      </c>
      <c r="F37" s="7" t="str">
        <f>VLOOKUP(B37,Sheet3!A:F,4,0)</f>
        <v>2. 삼각함수</v>
      </c>
      <c r="G37" s="7" t="str">
        <f>VLOOKUP(B37,Sheet3!A:F,5,0)</f>
        <v>C. 삼각함수</v>
      </c>
      <c r="H37" s="7" t="str">
        <f>VLOOKUP(B37,Sheet3!A:F,6,0)</f>
        <v>삼각함수의 값</v>
      </c>
      <c r="I37" s="7" t="str">
        <f>"mun/"&amp;C37&amp;".png"</f>
        <v>mun/20220906.png</v>
      </c>
      <c r="J37" s="7">
        <v>1</v>
      </c>
      <c r="K37" s="7">
        <v>1</v>
      </c>
      <c r="L37" s="6" t="s">
        <v>437</v>
      </c>
    </row>
    <row r="38" spans="1:12" x14ac:dyDescent="0.3">
      <c r="A38" s="7">
        <f>VLOOKUP(B38,Sheet3!A:B,2,0)</f>
        <v>20</v>
      </c>
      <c r="B38" s="6" t="s">
        <v>513</v>
      </c>
      <c r="C38" s="7">
        <v>20220907</v>
      </c>
      <c r="D38" s="7">
        <v>2</v>
      </c>
      <c r="E38" s="7" t="str">
        <f>VLOOKUP(B38,Sheet3!A:F,3,0)</f>
        <v>수학Ⅰ</v>
      </c>
      <c r="F38" s="7" t="str">
        <f>VLOOKUP(B38,Sheet3!A:F,4,0)</f>
        <v>3. 수열</v>
      </c>
      <c r="G38" s="7" t="str">
        <f>VLOOKUP(B38,Sheet3!A:F,5,0)</f>
        <v>E. 수열의 합</v>
      </c>
      <c r="H38" s="7" t="str">
        <f>VLOOKUP(B38,Sheet3!A:F,6,0)</f>
        <v>여러 가지 수열의 합</v>
      </c>
      <c r="I38" s="7" t="str">
        <f>"mun/"&amp;C38&amp;".png"</f>
        <v>mun/20220907.png</v>
      </c>
      <c r="J38" s="7">
        <v>4</v>
      </c>
      <c r="K38" s="7">
        <v>1</v>
      </c>
      <c r="L38" s="6" t="s">
        <v>438</v>
      </c>
    </row>
    <row r="39" spans="1:12" x14ac:dyDescent="0.3">
      <c r="A39" s="7">
        <f>VLOOKUP(B39,Sheet3!A:B,2,0)</f>
        <v>23</v>
      </c>
      <c r="B39" s="6" t="s">
        <v>515</v>
      </c>
      <c r="C39" s="7">
        <v>20220908</v>
      </c>
      <c r="D39" s="7">
        <v>2</v>
      </c>
      <c r="E39" s="7" t="str">
        <f>VLOOKUP(B39,Sheet3!A:F,3,0)</f>
        <v>수학Ⅱ</v>
      </c>
      <c r="F39" s="7" t="str">
        <f>VLOOKUP(B39,Sheet3!A:F,4,0)</f>
        <v>1. 함수의 극한과 연속</v>
      </c>
      <c r="G39" s="7" t="str">
        <f>VLOOKUP(B39,Sheet3!A:F,5,0)</f>
        <v>G. 함수의 극한</v>
      </c>
      <c r="H39" s="7" t="str">
        <f>VLOOKUP(B39,Sheet3!A:F,6,0)</f>
        <v>함수의 극한</v>
      </c>
      <c r="I39" s="7" t="str">
        <f>"mun/"&amp;C39&amp;".png"</f>
        <v>mun/20220908.png</v>
      </c>
      <c r="J39" s="7">
        <v>2</v>
      </c>
      <c r="K39" s="7">
        <v>1</v>
      </c>
      <c r="L39" s="6" t="s">
        <v>439</v>
      </c>
    </row>
    <row r="40" spans="1:12" x14ac:dyDescent="0.3">
      <c r="A40" s="7">
        <f>VLOOKUP(B40,Sheet3!A:B,2,0)</f>
        <v>41</v>
      </c>
      <c r="B40" s="6" t="s">
        <v>532</v>
      </c>
      <c r="C40" s="7">
        <v>20220909</v>
      </c>
      <c r="D40" s="7">
        <v>3</v>
      </c>
      <c r="E40" s="7" t="str">
        <f>VLOOKUP(B40,Sheet3!A:F,3,0)</f>
        <v>수학Ⅱ</v>
      </c>
      <c r="F40" s="7" t="str">
        <f>VLOOKUP(B40,Sheet3!A:F,4,0)</f>
        <v>3. 적분</v>
      </c>
      <c r="G40" s="7" t="str">
        <f>VLOOKUP(B40,Sheet3!A:F,5,0)</f>
        <v>L. 정적분</v>
      </c>
      <c r="H40" s="7" t="str">
        <f>VLOOKUP(B40,Sheet3!A:F,6,0)</f>
        <v>속도와 거리</v>
      </c>
      <c r="I40" s="7" t="str">
        <f>"mun/"&amp;C40&amp;".png"</f>
        <v>mun/20220909.png</v>
      </c>
      <c r="J40" s="7">
        <v>3</v>
      </c>
      <c r="K40" s="7">
        <v>1</v>
      </c>
      <c r="L40" s="6" t="s">
        <v>440</v>
      </c>
    </row>
    <row r="41" spans="1:12" x14ac:dyDescent="0.3">
      <c r="A41" s="7">
        <f>VLOOKUP(B41,Sheet3!A:B,2,0)</f>
        <v>11</v>
      </c>
      <c r="B41" s="6" t="s">
        <v>504</v>
      </c>
      <c r="C41" s="7">
        <v>20220910</v>
      </c>
      <c r="D41" s="7">
        <v>3</v>
      </c>
      <c r="E41" s="7" t="str">
        <f>VLOOKUP(B41,Sheet3!A:F,3,0)</f>
        <v>수학Ⅰ</v>
      </c>
      <c r="F41" s="7" t="str">
        <f>VLOOKUP(B41,Sheet3!A:F,4,0)</f>
        <v>2. 삼각함수</v>
      </c>
      <c r="G41" s="7" t="str">
        <f>VLOOKUP(B41,Sheet3!A:F,5,0)</f>
        <v>C. 삼각함수</v>
      </c>
      <c r="H41" s="7" t="str">
        <f>VLOOKUP(B41,Sheet3!A:F,6,0)</f>
        <v>삼각함수의 그래프</v>
      </c>
      <c r="I41" s="7" t="str">
        <f>"mun/"&amp;C41&amp;".png"</f>
        <v>mun/20220910.png</v>
      </c>
      <c r="J41" s="7">
        <v>3</v>
      </c>
      <c r="K41" s="7">
        <v>1</v>
      </c>
      <c r="L41" s="6" t="s">
        <v>441</v>
      </c>
    </row>
    <row r="42" spans="1:12" x14ac:dyDescent="0.3">
      <c r="A42" s="7">
        <f>VLOOKUP(B42,Sheet3!A:B,2,0)</f>
        <v>39</v>
      </c>
      <c r="B42" s="6" t="s">
        <v>530</v>
      </c>
      <c r="C42" s="7">
        <v>20220911</v>
      </c>
      <c r="D42" s="7">
        <v>3</v>
      </c>
      <c r="E42" s="7" t="str">
        <f>VLOOKUP(B42,Sheet3!A:F,3,0)</f>
        <v>수학Ⅱ</v>
      </c>
      <c r="F42" s="7" t="str">
        <f>VLOOKUP(B42,Sheet3!A:F,4,0)</f>
        <v>3. 적분</v>
      </c>
      <c r="G42" s="7" t="str">
        <f>VLOOKUP(B42,Sheet3!A:F,5,0)</f>
        <v>L. 정적분</v>
      </c>
      <c r="H42" s="7" t="str">
        <f>VLOOKUP(B42,Sheet3!A:F,6,0)</f>
        <v>미적분학의 기본 정리</v>
      </c>
      <c r="I42" s="7" t="str">
        <f>"mun/"&amp;C42&amp;".png"</f>
        <v>mun/20220911.png</v>
      </c>
      <c r="J42" s="7">
        <v>4</v>
      </c>
      <c r="K42" s="7">
        <v>1</v>
      </c>
      <c r="L42" s="6" t="s">
        <v>442</v>
      </c>
    </row>
    <row r="43" spans="1:12" x14ac:dyDescent="0.3">
      <c r="A43" s="7">
        <f>VLOOKUP(B43,Sheet3!A:B,2,0)</f>
        <v>15</v>
      </c>
      <c r="B43" s="6" t="s">
        <v>508</v>
      </c>
      <c r="C43" s="7">
        <v>20220912</v>
      </c>
      <c r="D43" s="7">
        <v>4</v>
      </c>
      <c r="E43" s="7" t="str">
        <f>VLOOKUP(B43,Sheet3!A:F,3,0)</f>
        <v>수학Ⅰ</v>
      </c>
      <c r="F43" s="7" t="str">
        <f>VLOOKUP(B43,Sheet3!A:F,4,0)</f>
        <v>2. 삼각함수</v>
      </c>
      <c r="G43" s="7" t="str">
        <f>VLOOKUP(B43,Sheet3!A:F,5,0)</f>
        <v>C. 삼각함수</v>
      </c>
      <c r="H43" s="7" t="str">
        <f>VLOOKUP(B43,Sheet3!A:F,6,0)</f>
        <v>사인법칙과 코사인법칙</v>
      </c>
      <c r="I43" s="7" t="str">
        <f>"mun/"&amp;C43&amp;".png"</f>
        <v>mun/20220912.png</v>
      </c>
      <c r="J43" s="7">
        <v>2</v>
      </c>
      <c r="K43" s="7">
        <v>1</v>
      </c>
      <c r="L43" s="6" t="s">
        <v>443</v>
      </c>
    </row>
    <row r="44" spans="1:12" x14ac:dyDescent="0.3">
      <c r="A44" s="7">
        <f>VLOOKUP(B44,Sheet3!A:B,2,0)</f>
        <v>16</v>
      </c>
      <c r="B44" s="6" t="s">
        <v>509</v>
      </c>
      <c r="C44" s="7">
        <v>20220913</v>
      </c>
      <c r="D44" s="7">
        <v>4</v>
      </c>
      <c r="E44" s="7" t="str">
        <f>VLOOKUP(B44,Sheet3!A:F,3,0)</f>
        <v>수학Ⅰ</v>
      </c>
      <c r="F44" s="7" t="str">
        <f>VLOOKUP(B44,Sheet3!A:F,4,0)</f>
        <v>3. 수열</v>
      </c>
      <c r="G44" s="7" t="str">
        <f>VLOOKUP(B44,Sheet3!A:F,5,0)</f>
        <v>D. 등차수열과 등비수열</v>
      </c>
      <c r="H44" s="7" t="str">
        <f>VLOOKUP(B44,Sheet3!A:F,6,0)</f>
        <v>등차수열</v>
      </c>
      <c r="I44" s="7" t="str">
        <f>"mun/"&amp;C44&amp;".png"</f>
        <v>mun/20220913.png</v>
      </c>
      <c r="J44" s="7">
        <v>2</v>
      </c>
      <c r="K44" s="7">
        <v>1</v>
      </c>
      <c r="L44" s="6" t="s">
        <v>444</v>
      </c>
    </row>
    <row r="45" spans="1:12" x14ac:dyDescent="0.3">
      <c r="A45" s="7">
        <f>VLOOKUP(B45,Sheet3!A:B,2,0)</f>
        <v>38</v>
      </c>
      <c r="B45" s="6" t="s">
        <v>529</v>
      </c>
      <c r="C45" s="7">
        <v>20220914</v>
      </c>
      <c r="D45" s="7">
        <v>4</v>
      </c>
      <c r="E45" s="7" t="str">
        <f>VLOOKUP(B45,Sheet3!A:F,3,0)</f>
        <v>수학Ⅱ</v>
      </c>
      <c r="F45" s="7" t="str">
        <f>VLOOKUP(B45,Sheet3!A:F,4,0)</f>
        <v>3. 적분</v>
      </c>
      <c r="G45" s="7" t="str">
        <f>VLOOKUP(B45,Sheet3!A:F,5,0)</f>
        <v>L. 정적분</v>
      </c>
      <c r="H45" s="7" t="str">
        <f>VLOOKUP(B45,Sheet3!A:F,6,0)</f>
        <v>정적분</v>
      </c>
      <c r="I45" s="7" t="str">
        <f>"mun/"&amp;C45&amp;".png"</f>
        <v>mun/20220914.png</v>
      </c>
      <c r="J45" s="7">
        <v>5</v>
      </c>
      <c r="K45" s="7">
        <v>1</v>
      </c>
      <c r="L45" s="6" t="s">
        <v>445</v>
      </c>
    </row>
    <row r="46" spans="1:12" x14ac:dyDescent="0.3">
      <c r="A46" s="7">
        <f>VLOOKUP(B46,Sheet3!A:B,2,0)</f>
        <v>21</v>
      </c>
      <c r="B46" s="6" t="s">
        <v>514</v>
      </c>
      <c r="C46" s="7">
        <v>20220915</v>
      </c>
      <c r="D46" s="7">
        <v>5</v>
      </c>
      <c r="E46" s="7" t="str">
        <f>VLOOKUP(B46,Sheet3!A:F,3,0)</f>
        <v>수학Ⅰ</v>
      </c>
      <c r="F46" s="7" t="str">
        <f>VLOOKUP(B46,Sheet3!A:F,4,0)</f>
        <v>3. 수열</v>
      </c>
      <c r="G46" s="7" t="str">
        <f>VLOOKUP(B46,Sheet3!A:F,5,0)</f>
        <v>F. 수학적 귀납법</v>
      </c>
      <c r="H46" s="7" t="str">
        <f>VLOOKUP(B46,Sheet3!A:F,6,0)</f>
        <v>수열의 귀납적 정의</v>
      </c>
      <c r="I46" s="7" t="str">
        <f>"mun/"&amp;C46&amp;".png"</f>
        <v>mun/20220915.png</v>
      </c>
      <c r="J46" s="7">
        <v>1</v>
      </c>
      <c r="K46" s="7">
        <v>1</v>
      </c>
      <c r="L46" s="6" t="s">
        <v>446</v>
      </c>
    </row>
    <row r="47" spans="1:12" x14ac:dyDescent="0.3">
      <c r="A47" s="7">
        <f>VLOOKUP(B47,Sheet3!A:B,2,0)</f>
        <v>3</v>
      </c>
      <c r="B47" s="6" t="s">
        <v>496</v>
      </c>
      <c r="C47" s="7">
        <v>20220916</v>
      </c>
      <c r="D47" s="7">
        <v>1</v>
      </c>
      <c r="E47" s="7" t="str">
        <f>VLOOKUP(B47,Sheet3!A:F,3,0)</f>
        <v>수학Ⅰ</v>
      </c>
      <c r="F47" s="7" t="str">
        <f>VLOOKUP(B47,Sheet3!A:F,4,0)</f>
        <v>1. 지수함수와 로그함수</v>
      </c>
      <c r="G47" s="7" t="str">
        <f>VLOOKUP(B47,Sheet3!A:F,5,0)</f>
        <v>A. 지수와 로그</v>
      </c>
      <c r="H47" s="7" t="str">
        <f>VLOOKUP(B47,Sheet3!A:F,6,0)</f>
        <v>로그의 연산</v>
      </c>
      <c r="I47" s="7" t="str">
        <f>"mun/"&amp;C47&amp;".png"</f>
        <v>mun/20220916.png</v>
      </c>
      <c r="J47" s="7">
        <v>2</v>
      </c>
      <c r="K47" s="7">
        <v>1</v>
      </c>
      <c r="L47" s="6" t="s">
        <v>447</v>
      </c>
    </row>
    <row r="48" spans="1:12" x14ac:dyDescent="0.3">
      <c r="A48" s="7">
        <f>VLOOKUP(B48,Sheet3!A:B,2,0)</f>
        <v>37</v>
      </c>
      <c r="B48" s="6" t="s">
        <v>528</v>
      </c>
      <c r="C48" s="7">
        <v>20220917</v>
      </c>
      <c r="D48" s="7">
        <v>1</v>
      </c>
      <c r="E48" s="7" t="str">
        <f>VLOOKUP(B48,Sheet3!A:F,3,0)</f>
        <v>수학Ⅱ</v>
      </c>
      <c r="F48" s="7" t="str">
        <f>VLOOKUP(B48,Sheet3!A:F,4,0)</f>
        <v>3. 적분</v>
      </c>
      <c r="G48" s="7" t="str">
        <f>VLOOKUP(B48,Sheet3!A:F,5,0)</f>
        <v>K. 부정적분</v>
      </c>
      <c r="H48" s="7" t="str">
        <f>VLOOKUP(B48,Sheet3!A:F,6,0)</f>
        <v>부정적분</v>
      </c>
      <c r="I48" s="7" t="str">
        <f>"mun/"&amp;C48&amp;".png"</f>
        <v>mun/20220917.png</v>
      </c>
      <c r="J48" s="7">
        <v>8</v>
      </c>
      <c r="K48" s="7">
        <v>1</v>
      </c>
      <c r="L48" s="6" t="s">
        <v>448</v>
      </c>
    </row>
    <row r="49" spans="1:12" x14ac:dyDescent="0.3">
      <c r="A49" s="7">
        <f>VLOOKUP(B49,Sheet3!A:B,2,0)</f>
        <v>18</v>
      </c>
      <c r="B49" s="6" t="s">
        <v>511</v>
      </c>
      <c r="C49" s="7">
        <v>20220918</v>
      </c>
      <c r="D49" s="7">
        <v>3</v>
      </c>
      <c r="E49" s="7" t="str">
        <f>VLOOKUP(B49,Sheet3!A:F,3,0)</f>
        <v>수학Ⅰ</v>
      </c>
      <c r="F49" s="7" t="str">
        <f>VLOOKUP(B49,Sheet3!A:F,4,0)</f>
        <v>3. 수열</v>
      </c>
      <c r="G49" s="7" t="str">
        <f>VLOOKUP(B49,Sheet3!A:F,5,0)</f>
        <v>E. 수열의 합</v>
      </c>
      <c r="H49" s="7" t="str">
        <f>VLOOKUP(B49,Sheet3!A:F,6,0)</f>
        <v>시그마의 뜻과 성질</v>
      </c>
      <c r="I49" s="7" t="str">
        <f>"mun/"&amp;C49&amp;".png"</f>
        <v>mun/20220918.png</v>
      </c>
      <c r="J49" s="7">
        <v>9</v>
      </c>
      <c r="K49" s="7">
        <v>1</v>
      </c>
      <c r="L49" s="6" t="s">
        <v>449</v>
      </c>
    </row>
    <row r="50" spans="1:12" x14ac:dyDescent="0.3">
      <c r="A50" s="7">
        <f>VLOOKUP(B50,Sheet3!A:B,2,0)</f>
        <v>28</v>
      </c>
      <c r="B50" s="6" t="s">
        <v>519</v>
      </c>
      <c r="C50" s="7">
        <v>20220919</v>
      </c>
      <c r="D50" s="7">
        <v>3</v>
      </c>
      <c r="E50" s="7" t="str">
        <f>VLOOKUP(B50,Sheet3!A:F,3,0)</f>
        <v>수학Ⅱ</v>
      </c>
      <c r="F50" s="7" t="str">
        <f>VLOOKUP(B50,Sheet3!A:F,4,0)</f>
        <v>2. 미분</v>
      </c>
      <c r="G50" s="7" t="str">
        <f>VLOOKUP(B50,Sheet3!A:F,5,0)</f>
        <v>I. 도함수</v>
      </c>
      <c r="H50" s="7" t="str">
        <f>VLOOKUP(B50,Sheet3!A:F,6,0)</f>
        <v>미분계수와 도함수</v>
      </c>
      <c r="I50" s="7" t="str">
        <f>"mun/"&amp;C50&amp;".png"</f>
        <v>mun/20220919.png</v>
      </c>
      <c r="J50" s="7">
        <v>11</v>
      </c>
      <c r="K50" s="7">
        <v>1</v>
      </c>
      <c r="L50" s="6" t="s">
        <v>450</v>
      </c>
    </row>
    <row r="51" spans="1:12" x14ac:dyDescent="0.3">
      <c r="A51" s="7">
        <f>VLOOKUP(B51,Sheet3!A:B,2,0)</f>
        <v>32</v>
      </c>
      <c r="B51" s="6" t="s">
        <v>523</v>
      </c>
      <c r="C51" s="7">
        <v>20220920</v>
      </c>
      <c r="D51" s="7">
        <v>4</v>
      </c>
      <c r="E51" s="7" t="str">
        <f>VLOOKUP(B51,Sheet3!A:F,3,0)</f>
        <v>수학Ⅱ</v>
      </c>
      <c r="F51" s="7" t="str">
        <f>VLOOKUP(B51,Sheet3!A:F,4,0)</f>
        <v>2. 미분</v>
      </c>
      <c r="G51" s="7" t="str">
        <f>VLOOKUP(B51,Sheet3!A:F,5,0)</f>
        <v>J. 도함수의 활용</v>
      </c>
      <c r="H51" s="7" t="str">
        <f>VLOOKUP(B51,Sheet3!A:F,6,0)</f>
        <v>방정식과 부등식에의 활용</v>
      </c>
      <c r="I51" s="7" t="str">
        <f>"mun/"&amp;C51&amp;".png"</f>
        <v>mun/20220920.png</v>
      </c>
      <c r="J51" s="7">
        <v>21</v>
      </c>
      <c r="K51" s="7">
        <v>1</v>
      </c>
      <c r="L51" s="6" t="s">
        <v>451</v>
      </c>
    </row>
    <row r="52" spans="1:12" x14ac:dyDescent="0.3">
      <c r="A52" s="7">
        <f>VLOOKUP(B52,Sheet3!A:B,2,0)</f>
        <v>10</v>
      </c>
      <c r="B52" s="6" t="s">
        <v>503</v>
      </c>
      <c r="C52" s="7">
        <v>20220921</v>
      </c>
      <c r="D52" s="7">
        <v>4</v>
      </c>
      <c r="E52" s="7" t="str">
        <f>VLOOKUP(B52,Sheet3!A:F,3,0)</f>
        <v>수학Ⅰ</v>
      </c>
      <c r="F52" s="7" t="str">
        <f>VLOOKUP(B52,Sheet3!A:F,4,0)</f>
        <v>1. 지수함수와 로그함수</v>
      </c>
      <c r="G52" s="7" t="str">
        <f>VLOOKUP(B52,Sheet3!A:F,5,0)</f>
        <v>B. 지수함수와 로그함수</v>
      </c>
      <c r="H52" s="7" t="str">
        <f>VLOOKUP(B52,Sheet3!A:F,6,0)</f>
        <v>그래프에서 도형의 성질</v>
      </c>
      <c r="I52" s="7" t="str">
        <f>"mun/"&amp;C52&amp;".png"</f>
        <v>mun/20220921.png</v>
      </c>
      <c r="J52" s="7">
        <v>192</v>
      </c>
      <c r="K52" s="7">
        <v>1</v>
      </c>
      <c r="L52" s="6" t="s">
        <v>452</v>
      </c>
    </row>
    <row r="53" spans="1:12" x14ac:dyDescent="0.3">
      <c r="A53" s="7">
        <f>VLOOKUP(B53,Sheet3!A:B,2,0)</f>
        <v>35</v>
      </c>
      <c r="B53" s="6" t="s">
        <v>526</v>
      </c>
      <c r="C53" s="7">
        <v>20220922</v>
      </c>
      <c r="D53" s="7">
        <v>5</v>
      </c>
      <c r="E53" s="7" t="str">
        <f>VLOOKUP(B53,Sheet3!A:F,3,0)</f>
        <v>수학Ⅱ</v>
      </c>
      <c r="F53" s="7" t="str">
        <f>VLOOKUP(B53,Sheet3!A:F,4,0)</f>
        <v>2. 미분</v>
      </c>
      <c r="G53" s="7" t="str">
        <f>VLOOKUP(B53,Sheet3!A:F,5,0)</f>
        <v>J. 도함수의 활용</v>
      </c>
      <c r="H53" s="7" t="str">
        <f>VLOOKUP(B53,Sheet3!A:F,6,0)</f>
        <v>함수의 추론</v>
      </c>
      <c r="I53" s="7" t="str">
        <f>"mun/"&amp;C53&amp;".png"</f>
        <v>mun/20220922.png</v>
      </c>
      <c r="J53" s="7">
        <v>108</v>
      </c>
      <c r="K53" s="7">
        <v>1</v>
      </c>
      <c r="L53" s="6" t="s">
        <v>453</v>
      </c>
    </row>
    <row r="54" spans="1:12" x14ac:dyDescent="0.3">
      <c r="A54" s="7">
        <f>VLOOKUP(B54,Sheet3!A:B,2,0)</f>
        <v>49</v>
      </c>
      <c r="B54" s="6" t="s">
        <v>669</v>
      </c>
      <c r="C54" s="7">
        <v>20230624</v>
      </c>
      <c r="D54" s="7">
        <v>1</v>
      </c>
      <c r="E54" s="7" t="str">
        <f>VLOOKUP(B54,Sheet3!A:F,3,0)</f>
        <v>확률과 통계</v>
      </c>
      <c r="F54" s="7" t="str">
        <f>VLOOKUP(B54,Sheet3!A:F,4,0)</f>
        <v>2. 확률</v>
      </c>
      <c r="G54" s="7" t="str">
        <f>VLOOKUP(B54,Sheet3!A:F,5,0)</f>
        <v>O. 수학적 확률</v>
      </c>
      <c r="H54" s="7" t="str">
        <f>VLOOKUP(B54,Sheet3!A:F,6,0)</f>
        <v>수학적 확률</v>
      </c>
      <c r="I54" s="7" t="str">
        <f>"mun/"&amp;C54&amp;".png"</f>
        <v>mun/20230624.png</v>
      </c>
      <c r="J54" s="7">
        <v>1</v>
      </c>
      <c r="K54" s="7">
        <v>1</v>
      </c>
      <c r="L54" s="6" t="s">
        <v>584</v>
      </c>
    </row>
    <row r="55" spans="1:12" x14ac:dyDescent="0.3">
      <c r="A55" s="7">
        <f>VLOOKUP(B55,Sheet3!A:B,2,0)</f>
        <v>49</v>
      </c>
      <c r="B55" s="6" t="s">
        <v>669</v>
      </c>
      <c r="C55" s="7">
        <v>20230628</v>
      </c>
      <c r="D55" s="7">
        <v>4</v>
      </c>
      <c r="E55" s="7" t="str">
        <f>VLOOKUP(B55,Sheet3!A:F,3,0)</f>
        <v>확률과 통계</v>
      </c>
      <c r="F55" s="7" t="str">
        <f>VLOOKUP(B55,Sheet3!A:F,4,0)</f>
        <v>2. 확률</v>
      </c>
      <c r="G55" s="7" t="str">
        <f>VLOOKUP(B55,Sheet3!A:F,5,0)</f>
        <v>O. 수학적 확률</v>
      </c>
      <c r="H55" s="7" t="str">
        <f>VLOOKUP(B55,Sheet3!A:F,6,0)</f>
        <v>수학적 확률</v>
      </c>
      <c r="I55" s="7" t="str">
        <f>"mun/"&amp;C55&amp;".png"</f>
        <v>mun/20230628.png</v>
      </c>
      <c r="J55" s="7">
        <v>4</v>
      </c>
      <c r="K55" s="7">
        <v>1</v>
      </c>
      <c r="L55" s="6" t="s">
        <v>588</v>
      </c>
    </row>
    <row r="56" spans="1:12" x14ac:dyDescent="0.3">
      <c r="A56" s="7">
        <f>VLOOKUP(B56,Sheet3!A:B,2,0)</f>
        <v>47</v>
      </c>
      <c r="B56" s="6" t="s">
        <v>555</v>
      </c>
      <c r="C56" s="7">
        <v>20220925</v>
      </c>
      <c r="D56" s="7">
        <v>2</v>
      </c>
      <c r="E56" s="7" t="str">
        <f>VLOOKUP(B56,Sheet3!A:F,3,0)</f>
        <v>확률과 통계</v>
      </c>
      <c r="F56" s="7" t="str">
        <f>VLOOKUP(B56,Sheet3!A:F,4,0)</f>
        <v>1. 경우의 수</v>
      </c>
      <c r="G56" s="7" t="str">
        <f>VLOOKUP(B56,Sheet3!A:F,5,0)</f>
        <v>N. 이항정리와 이항계수</v>
      </c>
      <c r="H56" s="7" t="str">
        <f>VLOOKUP(B56,Sheet3!A:F,6,0)</f>
        <v>전개식의 계수</v>
      </c>
      <c r="I56" s="7" t="str">
        <f>"mun/"&amp;C56&amp;".png"</f>
        <v>mun/20220925.png</v>
      </c>
      <c r="J56" s="7">
        <v>2</v>
      </c>
      <c r="K56" s="7">
        <v>1</v>
      </c>
      <c r="L56" s="6" t="s">
        <v>569</v>
      </c>
    </row>
    <row r="57" spans="1:12" x14ac:dyDescent="0.3">
      <c r="A57" s="7">
        <f>VLOOKUP(B57,Sheet3!A:B,2,0)</f>
        <v>49</v>
      </c>
      <c r="B57" s="6" t="s">
        <v>669</v>
      </c>
      <c r="C57" s="7">
        <v>20230928</v>
      </c>
      <c r="D57" s="7">
        <v>4</v>
      </c>
      <c r="E57" s="7" t="str">
        <f>VLOOKUP(B57,Sheet3!A:F,3,0)</f>
        <v>확률과 통계</v>
      </c>
      <c r="F57" s="7" t="str">
        <f>VLOOKUP(B57,Sheet3!A:F,4,0)</f>
        <v>2. 확률</v>
      </c>
      <c r="G57" s="7" t="str">
        <f>VLOOKUP(B57,Sheet3!A:F,5,0)</f>
        <v>O. 수학적 확률</v>
      </c>
      <c r="H57" s="7" t="str">
        <f>VLOOKUP(B57,Sheet3!A:F,6,0)</f>
        <v>수학적 확률</v>
      </c>
      <c r="I57" s="7" t="str">
        <f>"mun/"&amp;C57&amp;".png"</f>
        <v>mun/20230928.png</v>
      </c>
      <c r="J57" s="7">
        <v>3</v>
      </c>
      <c r="K57" s="7">
        <v>1</v>
      </c>
      <c r="L57" s="8" t="s">
        <v>649</v>
      </c>
    </row>
    <row r="58" spans="1:12" x14ac:dyDescent="0.3">
      <c r="A58" s="7">
        <f>VLOOKUP(B58,Sheet3!A:B,2,0)</f>
        <v>49</v>
      </c>
      <c r="B58" s="6" t="s">
        <v>669</v>
      </c>
      <c r="C58" s="7">
        <v>20231125</v>
      </c>
      <c r="D58" s="7">
        <v>2</v>
      </c>
      <c r="E58" s="7" t="str">
        <f>VLOOKUP(B58,Sheet3!A:F,3,0)</f>
        <v>확률과 통계</v>
      </c>
      <c r="F58" s="7" t="str">
        <f>VLOOKUP(B58,Sheet3!A:F,4,0)</f>
        <v>2. 확률</v>
      </c>
      <c r="G58" s="7" t="str">
        <f>VLOOKUP(B58,Sheet3!A:F,5,0)</f>
        <v>O. 수학적 확률</v>
      </c>
      <c r="H58" s="7" t="str">
        <f>VLOOKUP(B58,Sheet3!A:F,6,0)</f>
        <v>수학적 확률</v>
      </c>
      <c r="I58" s="7" t="str">
        <f>"mun/"&amp;C58&amp;".png"</f>
        <v>mun/20231125.png</v>
      </c>
      <c r="J58" s="7">
        <v>5</v>
      </c>
      <c r="K58" s="7">
        <v>1</v>
      </c>
      <c r="L58" s="6" t="s">
        <v>596</v>
      </c>
    </row>
    <row r="59" spans="1:12" x14ac:dyDescent="0.3">
      <c r="A59" s="7">
        <f>VLOOKUP(B59,Sheet3!A:B,2,0)</f>
        <v>44</v>
      </c>
      <c r="B59" s="6" t="s">
        <v>574</v>
      </c>
      <c r="C59" s="7">
        <v>20220928</v>
      </c>
      <c r="D59" s="7">
        <v>4</v>
      </c>
      <c r="E59" s="7" t="str">
        <f>VLOOKUP(B59,Sheet3!A:F,3,0)</f>
        <v>확률과 통계</v>
      </c>
      <c r="F59" s="7" t="str">
        <f>VLOOKUP(B59,Sheet3!A:F,4,0)</f>
        <v>1. 경우의 수</v>
      </c>
      <c r="G59" s="7" t="str">
        <f>VLOOKUP(B59,Sheet3!A:F,5,0)</f>
        <v>M. 여러 가지 순열과 중복 조합</v>
      </c>
      <c r="H59" s="7" t="str">
        <f>VLOOKUP(B59,Sheet3!A:F,6,0)</f>
        <v>중복 순열</v>
      </c>
      <c r="I59" s="7" t="str">
        <f>"mun/"&amp;C59&amp;".png"</f>
        <v>mun/20220928.png</v>
      </c>
      <c r="J59" s="7">
        <v>4</v>
      </c>
      <c r="K59" s="7">
        <v>1</v>
      </c>
      <c r="L59" s="8" t="s">
        <v>573</v>
      </c>
    </row>
    <row r="60" spans="1:12" x14ac:dyDescent="0.3">
      <c r="A60" s="7">
        <f>VLOOKUP(B60,Sheet3!A:B,2,0)</f>
        <v>49</v>
      </c>
      <c r="B60" s="6" t="s">
        <v>669</v>
      </c>
      <c r="C60" s="7">
        <v>20231126</v>
      </c>
      <c r="D60" s="7">
        <v>2</v>
      </c>
      <c r="E60" s="7" t="str">
        <f>VLOOKUP(B60,Sheet3!A:F,3,0)</f>
        <v>확률과 통계</v>
      </c>
      <c r="F60" s="7" t="str">
        <f>VLOOKUP(B60,Sheet3!A:F,4,0)</f>
        <v>2. 확률</v>
      </c>
      <c r="G60" s="7" t="str">
        <f>VLOOKUP(B60,Sheet3!A:F,5,0)</f>
        <v>O. 수학적 확률</v>
      </c>
      <c r="H60" s="7" t="str">
        <f>VLOOKUP(B60,Sheet3!A:F,6,0)</f>
        <v>수학적 확률</v>
      </c>
      <c r="I60" s="7" t="str">
        <f>"mun/"&amp;C60&amp;".png"</f>
        <v>mun/20231126.png</v>
      </c>
      <c r="J60" s="7">
        <v>3</v>
      </c>
      <c r="K60" s="7">
        <v>1</v>
      </c>
      <c r="L60" s="6" t="s">
        <v>597</v>
      </c>
    </row>
    <row r="61" spans="1:12" x14ac:dyDescent="0.3">
      <c r="A61" s="7">
        <f>VLOOKUP(B61,Sheet3!A:B,2,0)</f>
        <v>46</v>
      </c>
      <c r="B61" s="6" t="s">
        <v>644</v>
      </c>
      <c r="C61" s="7">
        <v>20220930</v>
      </c>
      <c r="D61" s="7">
        <v>5</v>
      </c>
      <c r="E61" s="7" t="str">
        <f>VLOOKUP(B61,Sheet3!A:F,3,0)</f>
        <v>확률과 통계</v>
      </c>
      <c r="F61" s="7" t="str">
        <f>VLOOKUP(B61,Sheet3!A:F,4,0)</f>
        <v>1. 경우의 수</v>
      </c>
      <c r="G61" s="7" t="str">
        <f>VLOOKUP(B61,Sheet3!A:F,5,0)</f>
        <v>M. 여러 가지 순열과 중복 조합</v>
      </c>
      <c r="H61" s="7" t="str">
        <f>VLOOKUP(B61,Sheet3!A:F,6,0)</f>
        <v>중복 조합</v>
      </c>
      <c r="I61" s="7" t="str">
        <f>"mun/"&amp;C61&amp;".png"</f>
        <v>mun/20220930.png</v>
      </c>
      <c r="J61" s="7">
        <v>218</v>
      </c>
      <c r="K61" s="7">
        <v>1</v>
      </c>
      <c r="L61" s="8" t="s">
        <v>646</v>
      </c>
    </row>
    <row r="62" spans="1:12" x14ac:dyDescent="0.3">
      <c r="A62" s="7">
        <f>VLOOKUP(B62,Sheet3!A:B,2,0)</f>
        <v>2</v>
      </c>
      <c r="B62" s="6" t="s">
        <v>495</v>
      </c>
      <c r="C62" s="7">
        <v>20221101</v>
      </c>
      <c r="D62" s="7">
        <v>1</v>
      </c>
      <c r="E62" s="7" t="str">
        <f>VLOOKUP(B62,Sheet3!A:F,3,0)</f>
        <v>수학Ⅰ</v>
      </c>
      <c r="F62" s="7" t="str">
        <f>VLOOKUP(B62,Sheet3!A:F,4,0)</f>
        <v>1. 지수함수와 로그함수</v>
      </c>
      <c r="G62" s="7" t="str">
        <f>VLOOKUP(B62,Sheet3!A:F,5,0)</f>
        <v>A. 지수와 로그</v>
      </c>
      <c r="H62" s="7" t="str">
        <f>VLOOKUP(B62,Sheet3!A:F,6,0)</f>
        <v>지수의 연산</v>
      </c>
      <c r="I62" s="7" t="str">
        <f>"mun/"&amp;C62&amp;".png"</f>
        <v>mun/20221101.png</v>
      </c>
      <c r="J62" s="7">
        <v>2</v>
      </c>
      <c r="K62" s="7">
        <v>1</v>
      </c>
      <c r="L62" s="6" t="s">
        <v>411</v>
      </c>
    </row>
    <row r="63" spans="1:12" x14ac:dyDescent="0.3">
      <c r="A63" s="7">
        <f>VLOOKUP(B63,Sheet3!A:B,2,0)</f>
        <v>28</v>
      </c>
      <c r="B63" s="6" t="s">
        <v>519</v>
      </c>
      <c r="C63" s="7">
        <v>20221102</v>
      </c>
      <c r="D63" s="7">
        <v>1</v>
      </c>
      <c r="E63" s="7" t="str">
        <f>VLOOKUP(B63,Sheet3!A:F,3,0)</f>
        <v>수학Ⅱ</v>
      </c>
      <c r="F63" s="7" t="str">
        <f>VLOOKUP(B63,Sheet3!A:F,4,0)</f>
        <v>2. 미분</v>
      </c>
      <c r="G63" s="7" t="str">
        <f>VLOOKUP(B63,Sheet3!A:F,5,0)</f>
        <v>I. 도함수</v>
      </c>
      <c r="H63" s="7" t="str">
        <f>VLOOKUP(B63,Sheet3!A:F,6,0)</f>
        <v>미분계수와 도함수</v>
      </c>
      <c r="I63" s="7" t="str">
        <f>"mun/"&amp;C63&amp;".png"</f>
        <v>mun/20221102.png</v>
      </c>
      <c r="J63" s="7">
        <v>5</v>
      </c>
      <c r="K63" s="7">
        <v>1</v>
      </c>
      <c r="L63" s="6" t="s">
        <v>412</v>
      </c>
    </row>
    <row r="64" spans="1:12" x14ac:dyDescent="0.3">
      <c r="A64" s="7">
        <f>VLOOKUP(B64,Sheet3!A:B,2,0)</f>
        <v>16</v>
      </c>
      <c r="B64" s="6" t="s">
        <v>509</v>
      </c>
      <c r="C64" s="7">
        <v>20221103</v>
      </c>
      <c r="D64" s="7">
        <v>1</v>
      </c>
      <c r="E64" s="7" t="str">
        <f>VLOOKUP(B64,Sheet3!A:F,3,0)</f>
        <v>수학Ⅰ</v>
      </c>
      <c r="F64" s="7" t="str">
        <f>VLOOKUP(B64,Sheet3!A:F,4,0)</f>
        <v>3. 수열</v>
      </c>
      <c r="G64" s="7" t="str">
        <f>VLOOKUP(B64,Sheet3!A:F,5,0)</f>
        <v>D. 등차수열과 등비수열</v>
      </c>
      <c r="H64" s="7" t="str">
        <f>VLOOKUP(B64,Sheet3!A:F,6,0)</f>
        <v>등차수열</v>
      </c>
      <c r="I64" s="7" t="str">
        <f>"mun/"&amp;C64&amp;".png"</f>
        <v>mun/20221103.png</v>
      </c>
      <c r="J64" s="7">
        <v>5</v>
      </c>
      <c r="K64" s="7">
        <v>1</v>
      </c>
      <c r="L64" s="6" t="s">
        <v>413</v>
      </c>
    </row>
    <row r="65" spans="1:12" x14ac:dyDescent="0.3">
      <c r="A65" s="7">
        <f>VLOOKUP(B65,Sheet3!A:B,2,0)</f>
        <v>23</v>
      </c>
      <c r="B65" s="6" t="s">
        <v>515</v>
      </c>
      <c r="C65" s="7">
        <v>20221104</v>
      </c>
      <c r="D65" s="7">
        <v>2</v>
      </c>
      <c r="E65" s="7" t="str">
        <f>VLOOKUP(B65,Sheet3!A:F,3,0)</f>
        <v>수학Ⅱ</v>
      </c>
      <c r="F65" s="7" t="str">
        <f>VLOOKUP(B65,Sheet3!A:F,4,0)</f>
        <v>1. 함수의 극한과 연속</v>
      </c>
      <c r="G65" s="7" t="str">
        <f>VLOOKUP(B65,Sheet3!A:F,5,0)</f>
        <v>G. 함수의 극한</v>
      </c>
      <c r="H65" s="7" t="str">
        <f>VLOOKUP(B65,Sheet3!A:F,6,0)</f>
        <v>함수의 극한</v>
      </c>
      <c r="I65" s="7" t="str">
        <f>"mun/"&amp;C65&amp;".png"</f>
        <v>mun/20221104.png</v>
      </c>
      <c r="J65" s="7">
        <v>4</v>
      </c>
      <c r="K65" s="7">
        <v>1</v>
      </c>
      <c r="L65" s="6" t="s">
        <v>414</v>
      </c>
    </row>
    <row r="66" spans="1:12" x14ac:dyDescent="0.3">
      <c r="A66" s="7">
        <f>VLOOKUP(B66,Sheet3!A:B,2,0)</f>
        <v>21</v>
      </c>
      <c r="B66" s="6" t="s">
        <v>514</v>
      </c>
      <c r="C66" s="7">
        <v>20221105</v>
      </c>
      <c r="D66" s="7">
        <v>2</v>
      </c>
      <c r="E66" s="7" t="str">
        <f>VLOOKUP(B66,Sheet3!A:F,3,0)</f>
        <v>수학Ⅰ</v>
      </c>
      <c r="F66" s="7" t="str">
        <f>VLOOKUP(B66,Sheet3!A:F,4,0)</f>
        <v>3. 수열</v>
      </c>
      <c r="G66" s="7" t="str">
        <f>VLOOKUP(B66,Sheet3!A:F,5,0)</f>
        <v>F. 수학적 귀납법</v>
      </c>
      <c r="H66" s="7" t="str">
        <f>VLOOKUP(B66,Sheet3!A:F,6,0)</f>
        <v>수열의 귀납적 정의</v>
      </c>
      <c r="I66" s="7" t="str">
        <f>"mun/"&amp;C66&amp;".png"</f>
        <v>mun/20221105.png</v>
      </c>
      <c r="J66" s="7">
        <v>1</v>
      </c>
      <c r="K66" s="7">
        <v>1</v>
      </c>
      <c r="L66" s="6" t="s">
        <v>415</v>
      </c>
    </row>
    <row r="67" spans="1:12" x14ac:dyDescent="0.3">
      <c r="A67" s="7">
        <f>VLOOKUP(B67,Sheet3!A:B,2,0)</f>
        <v>32</v>
      </c>
      <c r="B67" s="6" t="s">
        <v>523</v>
      </c>
      <c r="C67" s="7">
        <v>20221106</v>
      </c>
      <c r="D67" s="7">
        <v>2</v>
      </c>
      <c r="E67" s="7" t="str">
        <f>VLOOKUP(B67,Sheet3!A:F,3,0)</f>
        <v>수학Ⅱ</v>
      </c>
      <c r="F67" s="7" t="str">
        <f>VLOOKUP(B67,Sheet3!A:F,4,0)</f>
        <v>2. 미분</v>
      </c>
      <c r="G67" s="7" t="str">
        <f>VLOOKUP(B67,Sheet3!A:F,5,0)</f>
        <v>J. 도함수의 활용</v>
      </c>
      <c r="H67" s="7" t="str">
        <f>VLOOKUP(B67,Sheet3!A:F,6,0)</f>
        <v>방정식과 부등식에의 활용</v>
      </c>
      <c r="I67" s="7" t="str">
        <f>"mun/"&amp;C67&amp;".png"</f>
        <v>mun/20221106.png</v>
      </c>
      <c r="J67" s="7">
        <v>3</v>
      </c>
      <c r="K67" s="7">
        <v>1</v>
      </c>
      <c r="L67" s="6" t="s">
        <v>416</v>
      </c>
    </row>
    <row r="68" spans="1:12" x14ac:dyDescent="0.3">
      <c r="A68" s="7">
        <f>VLOOKUP(B68,Sheet3!A:B,2,0)</f>
        <v>12</v>
      </c>
      <c r="B68" s="6" t="s">
        <v>505</v>
      </c>
      <c r="C68" s="7">
        <v>20221107</v>
      </c>
      <c r="D68" s="7">
        <v>2</v>
      </c>
      <c r="E68" s="7" t="str">
        <f>VLOOKUP(B68,Sheet3!A:F,3,0)</f>
        <v>수학Ⅰ</v>
      </c>
      <c r="F68" s="7" t="str">
        <f>VLOOKUP(B68,Sheet3!A:F,4,0)</f>
        <v>2. 삼각함수</v>
      </c>
      <c r="G68" s="7" t="str">
        <f>VLOOKUP(B68,Sheet3!A:F,5,0)</f>
        <v>C. 삼각함수</v>
      </c>
      <c r="H68" s="7" t="str">
        <f>VLOOKUP(B68,Sheet3!A:F,6,0)</f>
        <v>삼각함수의 값</v>
      </c>
      <c r="I68" s="7" t="str">
        <f>"mun/"&amp;C68&amp;".png"</f>
        <v>mun/20221107.png</v>
      </c>
      <c r="J68" s="7">
        <v>1</v>
      </c>
      <c r="K68" s="7">
        <v>1</v>
      </c>
      <c r="L68" s="6" t="s">
        <v>417</v>
      </c>
    </row>
    <row r="69" spans="1:12" x14ac:dyDescent="0.3">
      <c r="A69" s="7">
        <f>VLOOKUP(B69,Sheet3!A:B,2,0)</f>
        <v>40</v>
      </c>
      <c r="B69" s="6" t="s">
        <v>531</v>
      </c>
      <c r="C69" s="7">
        <v>20221108</v>
      </c>
      <c r="D69" s="7">
        <v>2</v>
      </c>
      <c r="E69" s="7" t="str">
        <f>VLOOKUP(B69,Sheet3!A:F,3,0)</f>
        <v>수학Ⅱ</v>
      </c>
      <c r="F69" s="7" t="str">
        <f>VLOOKUP(B69,Sheet3!A:F,4,0)</f>
        <v>3. 적분</v>
      </c>
      <c r="G69" s="7" t="str">
        <f>VLOOKUP(B69,Sheet3!A:F,5,0)</f>
        <v>L. 정적분</v>
      </c>
      <c r="H69" s="7" t="str">
        <f>VLOOKUP(B69,Sheet3!A:F,6,0)</f>
        <v>곡선 사이의 넓이</v>
      </c>
      <c r="I69" s="7" t="str">
        <f>"mun/"&amp;C69&amp;".png"</f>
        <v>mun/20221108.png</v>
      </c>
      <c r="J69" s="7">
        <v>1</v>
      </c>
      <c r="K69" s="7">
        <v>1</v>
      </c>
      <c r="L69" s="6" t="s">
        <v>418</v>
      </c>
    </row>
    <row r="70" spans="1:12" x14ac:dyDescent="0.3">
      <c r="A70" s="7">
        <f>VLOOKUP(B70,Sheet3!A:B,2,0)</f>
        <v>10</v>
      </c>
      <c r="B70" s="6" t="s">
        <v>503</v>
      </c>
      <c r="C70" s="7">
        <v>20221109</v>
      </c>
      <c r="D70" s="7">
        <v>3</v>
      </c>
      <c r="E70" s="7" t="str">
        <f>VLOOKUP(B70,Sheet3!A:F,3,0)</f>
        <v>수학Ⅰ</v>
      </c>
      <c r="F70" s="7" t="str">
        <f>VLOOKUP(B70,Sheet3!A:F,4,0)</f>
        <v>1. 지수함수와 로그함수</v>
      </c>
      <c r="G70" s="7" t="str">
        <f>VLOOKUP(B70,Sheet3!A:F,5,0)</f>
        <v>B. 지수함수와 로그함수</v>
      </c>
      <c r="H70" s="7" t="str">
        <f>VLOOKUP(B70,Sheet3!A:F,6,0)</f>
        <v>그래프에서 도형의 성질</v>
      </c>
      <c r="I70" s="7" t="str">
        <f>"mun/"&amp;C70&amp;".png"</f>
        <v>mun/20221109.png</v>
      </c>
      <c r="J70" s="7">
        <v>4</v>
      </c>
      <c r="K70" s="7">
        <v>1</v>
      </c>
      <c r="L70" s="6" t="s">
        <v>419</v>
      </c>
    </row>
    <row r="71" spans="1:12" x14ac:dyDescent="0.3">
      <c r="A71" s="7">
        <f>VLOOKUP(B71,Sheet3!A:B,2,0)</f>
        <v>31</v>
      </c>
      <c r="B71" s="6" t="s">
        <v>522</v>
      </c>
      <c r="C71" s="7">
        <v>20221110</v>
      </c>
      <c r="D71" s="7">
        <v>3</v>
      </c>
      <c r="E71" s="7" t="str">
        <f>VLOOKUP(B71,Sheet3!A:F,3,0)</f>
        <v>수학Ⅱ</v>
      </c>
      <c r="F71" s="7" t="str">
        <f>VLOOKUP(B71,Sheet3!A:F,4,0)</f>
        <v>2. 미분</v>
      </c>
      <c r="G71" s="7" t="str">
        <f>VLOOKUP(B71,Sheet3!A:F,5,0)</f>
        <v>J. 도함수의 활용</v>
      </c>
      <c r="H71" s="7" t="str">
        <f>VLOOKUP(B71,Sheet3!A:F,6,0)</f>
        <v>접선의 방정식</v>
      </c>
      <c r="I71" s="7" t="str">
        <f>"mun/"&amp;C71&amp;".png"</f>
        <v>mun/20221110.png</v>
      </c>
      <c r="J71" s="7">
        <v>5</v>
      </c>
      <c r="K71" s="7">
        <v>1</v>
      </c>
      <c r="L71" s="6" t="s">
        <v>420</v>
      </c>
    </row>
    <row r="72" spans="1:12" x14ac:dyDescent="0.3">
      <c r="A72" s="7">
        <f>VLOOKUP(B72,Sheet3!A:B,2,0)</f>
        <v>11</v>
      </c>
      <c r="B72" s="6" t="s">
        <v>504</v>
      </c>
      <c r="C72" s="7">
        <v>20221111</v>
      </c>
      <c r="D72" s="7">
        <v>3</v>
      </c>
      <c r="E72" s="7" t="str">
        <f>VLOOKUP(B72,Sheet3!A:F,3,0)</f>
        <v>수학Ⅰ</v>
      </c>
      <c r="F72" s="7" t="str">
        <f>VLOOKUP(B72,Sheet3!A:F,4,0)</f>
        <v>2. 삼각함수</v>
      </c>
      <c r="G72" s="7" t="str">
        <f>VLOOKUP(B72,Sheet3!A:F,5,0)</f>
        <v>C. 삼각함수</v>
      </c>
      <c r="H72" s="7" t="str">
        <f>VLOOKUP(B72,Sheet3!A:F,6,0)</f>
        <v>삼각함수의 그래프</v>
      </c>
      <c r="I72" s="7" t="str">
        <f>"mun/"&amp;C72&amp;".png"</f>
        <v>mun/20221111.png</v>
      </c>
      <c r="J72" s="7">
        <v>3</v>
      </c>
      <c r="K72" s="7">
        <v>1</v>
      </c>
      <c r="L72" s="6" t="s">
        <v>421</v>
      </c>
    </row>
    <row r="73" spans="1:12" x14ac:dyDescent="0.3">
      <c r="A73" s="7">
        <f>VLOOKUP(B73,Sheet3!A:B,2,0)</f>
        <v>27</v>
      </c>
      <c r="B73" s="6" t="s">
        <v>518</v>
      </c>
      <c r="C73" s="7">
        <v>20221112</v>
      </c>
      <c r="D73" s="7">
        <v>4</v>
      </c>
      <c r="E73" s="7" t="str">
        <f>VLOOKUP(B73,Sheet3!A:F,3,0)</f>
        <v>수학Ⅱ</v>
      </c>
      <c r="F73" s="7" t="str">
        <f>VLOOKUP(B73,Sheet3!A:F,4,0)</f>
        <v>1. 함수의 극한과 연속</v>
      </c>
      <c r="G73" s="7" t="str">
        <f>VLOOKUP(B73,Sheet3!A:F,5,0)</f>
        <v>H. 함수의 연속</v>
      </c>
      <c r="H73" s="7" t="str">
        <f>VLOOKUP(B73,Sheet3!A:F,6,0)</f>
        <v>조건을 만족하는 함수의 추론</v>
      </c>
      <c r="I73" s="7" t="str">
        <f>"mun/"&amp;C73&amp;".png"</f>
        <v>mun/20221112.png</v>
      </c>
      <c r="J73" s="7">
        <v>3</v>
      </c>
      <c r="K73" s="7">
        <v>1</v>
      </c>
      <c r="L73" s="6" t="s">
        <v>422</v>
      </c>
    </row>
    <row r="74" spans="1:12" x14ac:dyDescent="0.3">
      <c r="A74" s="7">
        <f>VLOOKUP(B74,Sheet3!A:B,2,0)</f>
        <v>6</v>
      </c>
      <c r="B74" s="6" t="s">
        <v>499</v>
      </c>
      <c r="C74" s="7">
        <v>20221113</v>
      </c>
      <c r="D74" s="7">
        <v>4</v>
      </c>
      <c r="E74" s="7" t="str">
        <f>VLOOKUP(B74,Sheet3!A:F,3,0)</f>
        <v>수학Ⅰ</v>
      </c>
      <c r="F74" s="7" t="str">
        <f>VLOOKUP(B74,Sheet3!A:F,4,0)</f>
        <v>1. 지수함수와 로그함수</v>
      </c>
      <c r="G74" s="7" t="str">
        <f>VLOOKUP(B74,Sheet3!A:F,5,0)</f>
        <v>B. 지수함수와 로그함수</v>
      </c>
      <c r="H74" s="7" t="str">
        <f>VLOOKUP(B74,Sheet3!A:F,6,0)</f>
        <v>방정식과 부등식에의 활용</v>
      </c>
      <c r="I74" s="7" t="str">
        <f>"mun/"&amp;C74&amp;".png"</f>
        <v>mun/20221113.png</v>
      </c>
      <c r="J74" s="7">
        <v>2</v>
      </c>
      <c r="K74" s="7">
        <v>1</v>
      </c>
      <c r="L74" s="6" t="s">
        <v>423</v>
      </c>
    </row>
    <row r="75" spans="1:12" x14ac:dyDescent="0.3">
      <c r="A75" s="7">
        <f>VLOOKUP(B75,Sheet3!A:B,2,0)</f>
        <v>41</v>
      </c>
      <c r="B75" s="6" t="s">
        <v>532</v>
      </c>
      <c r="C75" s="7">
        <v>20221114</v>
      </c>
      <c r="D75" s="7">
        <v>4</v>
      </c>
      <c r="E75" s="7" t="str">
        <f>VLOOKUP(B75,Sheet3!A:F,3,0)</f>
        <v>수학Ⅱ</v>
      </c>
      <c r="F75" s="7" t="str">
        <f>VLOOKUP(B75,Sheet3!A:F,4,0)</f>
        <v>3. 적분</v>
      </c>
      <c r="G75" s="7" t="str">
        <f>VLOOKUP(B75,Sheet3!A:F,5,0)</f>
        <v>L. 정적분</v>
      </c>
      <c r="H75" s="7" t="str">
        <f>VLOOKUP(B75,Sheet3!A:F,6,0)</f>
        <v>속도와 거리</v>
      </c>
      <c r="I75" s="7" t="str">
        <f>"mun/"&amp;C75&amp;".png"</f>
        <v>mun/20221114.png</v>
      </c>
      <c r="J75" s="7">
        <v>3</v>
      </c>
      <c r="K75" s="7">
        <v>1</v>
      </c>
      <c r="L75" s="6" t="s">
        <v>424</v>
      </c>
    </row>
    <row r="76" spans="1:12" x14ac:dyDescent="0.3">
      <c r="A76" s="7">
        <f>VLOOKUP(B76,Sheet3!A:B,2,0)</f>
        <v>15</v>
      </c>
      <c r="B76" s="6" t="s">
        <v>508</v>
      </c>
      <c r="C76" s="7">
        <v>20221115</v>
      </c>
      <c r="D76" s="7">
        <v>5</v>
      </c>
      <c r="E76" s="7" t="str">
        <f>VLOOKUP(B76,Sheet3!A:F,3,0)</f>
        <v>수학Ⅰ</v>
      </c>
      <c r="F76" s="7" t="str">
        <f>VLOOKUP(B76,Sheet3!A:F,4,0)</f>
        <v>2. 삼각함수</v>
      </c>
      <c r="G76" s="7" t="str">
        <f>VLOOKUP(B76,Sheet3!A:F,5,0)</f>
        <v>C. 삼각함수</v>
      </c>
      <c r="H76" s="7" t="str">
        <f>VLOOKUP(B76,Sheet3!A:F,6,0)</f>
        <v>사인법칙과 코사인법칙</v>
      </c>
      <c r="I76" s="7" t="str">
        <f>"mun/"&amp;C76&amp;".png"</f>
        <v>mun/20221115.png</v>
      </c>
      <c r="J76" s="7">
        <v>2</v>
      </c>
      <c r="K76" s="7">
        <v>1</v>
      </c>
      <c r="L76" s="6" t="s">
        <v>425</v>
      </c>
    </row>
    <row r="77" spans="1:12" x14ac:dyDescent="0.3">
      <c r="A77" s="7">
        <f>VLOOKUP(B77,Sheet3!A:B,2,0)</f>
        <v>3</v>
      </c>
      <c r="B77" s="6" t="s">
        <v>496</v>
      </c>
      <c r="C77" s="7">
        <v>20221116</v>
      </c>
      <c r="D77" s="7">
        <v>1</v>
      </c>
      <c r="E77" s="7" t="str">
        <f>VLOOKUP(B77,Sheet3!A:F,3,0)</f>
        <v>수학Ⅰ</v>
      </c>
      <c r="F77" s="7" t="str">
        <f>VLOOKUP(B77,Sheet3!A:F,4,0)</f>
        <v>1. 지수함수와 로그함수</v>
      </c>
      <c r="G77" s="7" t="str">
        <f>VLOOKUP(B77,Sheet3!A:F,5,0)</f>
        <v>A. 지수와 로그</v>
      </c>
      <c r="H77" s="7" t="str">
        <f>VLOOKUP(B77,Sheet3!A:F,6,0)</f>
        <v>로그의 연산</v>
      </c>
      <c r="I77" s="7" t="str">
        <f>"mun/"&amp;C77&amp;".png"</f>
        <v>mun/20221116.png</v>
      </c>
      <c r="J77" s="7">
        <v>3</v>
      </c>
      <c r="K77" s="7">
        <v>1</v>
      </c>
      <c r="L77" s="6" t="s">
        <v>426</v>
      </c>
    </row>
    <row r="78" spans="1:12" x14ac:dyDescent="0.3">
      <c r="A78" s="7">
        <f>VLOOKUP(B78,Sheet3!A:B,2,0)</f>
        <v>37</v>
      </c>
      <c r="B78" s="6" t="s">
        <v>528</v>
      </c>
      <c r="C78" s="7">
        <v>20221117</v>
      </c>
      <c r="D78" s="7">
        <v>1</v>
      </c>
      <c r="E78" s="7" t="str">
        <f>VLOOKUP(B78,Sheet3!A:F,3,0)</f>
        <v>수학Ⅱ</v>
      </c>
      <c r="F78" s="7" t="str">
        <f>VLOOKUP(B78,Sheet3!A:F,4,0)</f>
        <v>3. 적분</v>
      </c>
      <c r="G78" s="7" t="str">
        <f>VLOOKUP(B78,Sheet3!A:F,5,0)</f>
        <v>K. 부정적분</v>
      </c>
      <c r="H78" s="7" t="str">
        <f>VLOOKUP(B78,Sheet3!A:F,6,0)</f>
        <v>부정적분</v>
      </c>
      <c r="I78" s="7" t="str">
        <f>"mun/"&amp;C78&amp;".png"</f>
        <v>mun/20221117.png</v>
      </c>
      <c r="J78" s="7">
        <v>4</v>
      </c>
      <c r="K78" s="7">
        <v>1</v>
      </c>
      <c r="L78" s="6" t="s">
        <v>427</v>
      </c>
    </row>
    <row r="79" spans="1:12" x14ac:dyDescent="0.3">
      <c r="A79" s="7">
        <f>VLOOKUP(B79,Sheet3!A:B,2,0)</f>
        <v>18</v>
      </c>
      <c r="B79" s="6" t="s">
        <v>511</v>
      </c>
      <c r="C79" s="7">
        <v>20221118</v>
      </c>
      <c r="D79" s="7">
        <v>3</v>
      </c>
      <c r="E79" s="7" t="str">
        <f>VLOOKUP(B79,Sheet3!A:F,3,0)</f>
        <v>수학Ⅰ</v>
      </c>
      <c r="F79" s="7" t="str">
        <f>VLOOKUP(B79,Sheet3!A:F,4,0)</f>
        <v>3. 수열</v>
      </c>
      <c r="G79" s="7" t="str">
        <f>VLOOKUP(B79,Sheet3!A:F,5,0)</f>
        <v>E. 수열의 합</v>
      </c>
      <c r="H79" s="7" t="str">
        <f>VLOOKUP(B79,Sheet3!A:F,6,0)</f>
        <v>시그마의 뜻과 성질</v>
      </c>
      <c r="I79" s="7" t="str">
        <f>"mun/"&amp;C79&amp;".png"</f>
        <v>mun/20221118.png</v>
      </c>
      <c r="J79" s="7">
        <v>12</v>
      </c>
      <c r="K79" s="7">
        <v>1</v>
      </c>
      <c r="L79" s="6" t="s">
        <v>428</v>
      </c>
    </row>
    <row r="80" spans="1:12" x14ac:dyDescent="0.3">
      <c r="A80" s="7">
        <f>VLOOKUP(B80,Sheet3!A:B,2,0)</f>
        <v>34</v>
      </c>
      <c r="B80" s="6" t="s">
        <v>525</v>
      </c>
      <c r="C80" s="7">
        <v>20221119</v>
      </c>
      <c r="D80" s="7">
        <v>3</v>
      </c>
      <c r="E80" s="7" t="str">
        <f>VLOOKUP(B80,Sheet3!A:F,3,0)</f>
        <v>수학Ⅱ</v>
      </c>
      <c r="F80" s="7" t="str">
        <f>VLOOKUP(B80,Sheet3!A:F,4,0)</f>
        <v>2. 미분</v>
      </c>
      <c r="G80" s="7" t="str">
        <f>VLOOKUP(B80,Sheet3!A:F,5,0)</f>
        <v>J. 도함수의 활용</v>
      </c>
      <c r="H80" s="7" t="str">
        <f>VLOOKUP(B80,Sheet3!A:F,6,0)</f>
        <v>그래프의 개형</v>
      </c>
      <c r="I80" s="7" t="str">
        <f>"mun/"&amp;C80&amp;".png"</f>
        <v>mun/20221119.png</v>
      </c>
      <c r="J80" s="7">
        <v>6</v>
      </c>
      <c r="K80" s="7">
        <v>1</v>
      </c>
      <c r="L80" s="6" t="s">
        <v>429</v>
      </c>
    </row>
    <row r="81" spans="1:12" x14ac:dyDescent="0.3">
      <c r="A81" s="7">
        <f>VLOOKUP(B81,Sheet3!A:B,2,0)</f>
        <v>38</v>
      </c>
      <c r="B81" s="6" t="s">
        <v>529</v>
      </c>
      <c r="C81" s="7">
        <v>20221120</v>
      </c>
      <c r="D81" s="7">
        <v>4</v>
      </c>
      <c r="E81" s="7" t="str">
        <f>VLOOKUP(B81,Sheet3!A:F,3,0)</f>
        <v>수학Ⅱ</v>
      </c>
      <c r="F81" s="7" t="str">
        <f>VLOOKUP(B81,Sheet3!A:F,4,0)</f>
        <v>3. 적분</v>
      </c>
      <c r="G81" s="7" t="str">
        <f>VLOOKUP(B81,Sheet3!A:F,5,0)</f>
        <v>L. 정적분</v>
      </c>
      <c r="H81" s="7" t="str">
        <f>VLOOKUP(B81,Sheet3!A:F,6,0)</f>
        <v>정적분</v>
      </c>
      <c r="I81" s="7" t="str">
        <f>"mun/"&amp;C81&amp;".png"</f>
        <v>mun/20221120.png</v>
      </c>
      <c r="J81" s="7">
        <v>110</v>
      </c>
      <c r="K81" s="7">
        <v>1</v>
      </c>
      <c r="L81" s="8" t="s">
        <v>482</v>
      </c>
    </row>
    <row r="82" spans="1:12" x14ac:dyDescent="0.3">
      <c r="A82" s="7">
        <f>VLOOKUP(B82,Sheet3!A:B,2,0)</f>
        <v>20</v>
      </c>
      <c r="B82" s="6" t="s">
        <v>513</v>
      </c>
      <c r="C82" s="7">
        <v>20221121</v>
      </c>
      <c r="D82" s="7">
        <v>4</v>
      </c>
      <c r="E82" s="7" t="str">
        <f>VLOOKUP(B82,Sheet3!A:F,3,0)</f>
        <v>수학Ⅰ</v>
      </c>
      <c r="F82" s="7" t="str">
        <f>VLOOKUP(B82,Sheet3!A:F,4,0)</f>
        <v>3. 수열</v>
      </c>
      <c r="G82" s="7" t="str">
        <f>VLOOKUP(B82,Sheet3!A:F,5,0)</f>
        <v>E. 수열의 합</v>
      </c>
      <c r="H82" s="7" t="str">
        <f>VLOOKUP(B82,Sheet3!A:F,6,0)</f>
        <v>여러 가지 수열의 합</v>
      </c>
      <c r="I82" s="7" t="str">
        <f>"mun/"&amp;C82&amp;".png"</f>
        <v>mun/20221121.png</v>
      </c>
      <c r="J82" s="7">
        <v>678</v>
      </c>
      <c r="K82" s="7">
        <v>1</v>
      </c>
      <c r="L82" s="6" t="s">
        <v>430</v>
      </c>
    </row>
    <row r="83" spans="1:12" x14ac:dyDescent="0.3">
      <c r="A83" s="7">
        <f>VLOOKUP(B83,Sheet3!A:B,2,0)</f>
        <v>35</v>
      </c>
      <c r="B83" s="6" t="s">
        <v>526</v>
      </c>
      <c r="C83" s="7">
        <v>20221122</v>
      </c>
      <c r="D83" s="7">
        <v>5</v>
      </c>
      <c r="E83" s="7" t="str">
        <f>VLOOKUP(B83,Sheet3!A:F,3,0)</f>
        <v>수학Ⅱ</v>
      </c>
      <c r="F83" s="7" t="str">
        <f>VLOOKUP(B83,Sheet3!A:F,4,0)</f>
        <v>2. 미분</v>
      </c>
      <c r="G83" s="7" t="str">
        <f>VLOOKUP(B83,Sheet3!A:F,5,0)</f>
        <v>J. 도함수의 활용</v>
      </c>
      <c r="H83" s="7" t="str">
        <f>VLOOKUP(B83,Sheet3!A:F,6,0)</f>
        <v>함수의 추론</v>
      </c>
      <c r="I83" s="7" t="str">
        <f>"mun/"&amp;C83&amp;".png"</f>
        <v>mun/20221122.png</v>
      </c>
      <c r="J83" s="7">
        <v>9</v>
      </c>
      <c r="K83" s="7">
        <v>1</v>
      </c>
      <c r="L83" s="6" t="s">
        <v>431</v>
      </c>
    </row>
    <row r="84" spans="1:12" x14ac:dyDescent="0.3">
      <c r="A84" s="7">
        <f>VLOOKUP(B84,Sheet3!A:B,2,0)</f>
        <v>47</v>
      </c>
      <c r="B84" s="6" t="s">
        <v>555</v>
      </c>
      <c r="C84" s="7">
        <v>20221123</v>
      </c>
      <c r="D84" s="7">
        <v>1</v>
      </c>
      <c r="E84" s="7" t="str">
        <f>VLOOKUP(B84,Sheet3!A:F,3,0)</f>
        <v>확률과 통계</v>
      </c>
      <c r="F84" s="7" t="str">
        <f>VLOOKUP(B84,Sheet3!A:F,4,0)</f>
        <v>1. 경우의 수</v>
      </c>
      <c r="G84" s="7" t="str">
        <f>VLOOKUP(B84,Sheet3!A:F,5,0)</f>
        <v>N. 이항정리와 이항계수</v>
      </c>
      <c r="H84" s="7" t="str">
        <f>VLOOKUP(B84,Sheet3!A:F,6,0)</f>
        <v>전개식의 계수</v>
      </c>
      <c r="I84" s="7" t="str">
        <f>"mun/"&amp;C84&amp;".png"</f>
        <v>mun/20221123.png</v>
      </c>
      <c r="J84" s="7">
        <v>4</v>
      </c>
      <c r="K84" s="7">
        <v>1</v>
      </c>
      <c r="L84" s="6" t="s">
        <v>575</v>
      </c>
    </row>
    <row r="85" spans="1:12" x14ac:dyDescent="0.3">
      <c r="A85" s="7">
        <f>VLOOKUP(B85,Sheet3!A:B,2,0)</f>
        <v>49</v>
      </c>
      <c r="B85" s="6" t="s">
        <v>669</v>
      </c>
      <c r="C85" s="7">
        <v>20240624</v>
      </c>
      <c r="D85" s="7">
        <v>1</v>
      </c>
      <c r="E85" s="7" t="str">
        <f>VLOOKUP(B85,Sheet3!A:F,3,0)</f>
        <v>확률과 통계</v>
      </c>
      <c r="F85" s="7" t="str">
        <f>VLOOKUP(B85,Sheet3!A:F,4,0)</f>
        <v>2. 확률</v>
      </c>
      <c r="G85" s="7" t="str">
        <f>VLOOKUP(B85,Sheet3!A:F,5,0)</f>
        <v>O. 수학적 확률</v>
      </c>
      <c r="H85" s="7" t="str">
        <f>VLOOKUP(B85,Sheet3!A:F,6,0)</f>
        <v>수학적 확률</v>
      </c>
      <c r="I85" s="7" t="str">
        <f>"mun/"&amp;C85&amp;".png"</f>
        <v>mun/20240624.png</v>
      </c>
      <c r="J85" s="7">
        <v>4</v>
      </c>
      <c r="K85" s="7">
        <v>1</v>
      </c>
      <c r="L85" s="6" t="s">
        <v>601</v>
      </c>
    </row>
    <row r="86" spans="1:12" x14ac:dyDescent="0.3">
      <c r="A86" s="7">
        <f>VLOOKUP(B86,Sheet3!A:B,2,0)</f>
        <v>46</v>
      </c>
      <c r="B86" s="6" t="s">
        <v>644</v>
      </c>
      <c r="C86" s="7">
        <v>20221125</v>
      </c>
      <c r="D86" s="7">
        <v>2</v>
      </c>
      <c r="E86" s="7" t="str">
        <f>VLOOKUP(B86,Sheet3!A:F,3,0)</f>
        <v>확률과 통계</v>
      </c>
      <c r="F86" s="7" t="str">
        <f>VLOOKUP(B86,Sheet3!A:F,4,0)</f>
        <v>1. 경우의 수</v>
      </c>
      <c r="G86" s="7" t="str">
        <f>VLOOKUP(B86,Sheet3!A:F,5,0)</f>
        <v>M. 여러 가지 순열과 중복 조합</v>
      </c>
      <c r="H86" s="7" t="str">
        <f>VLOOKUP(B86,Sheet3!A:F,6,0)</f>
        <v>중복 조합</v>
      </c>
      <c r="I86" s="7" t="str">
        <f>"mun/"&amp;C86&amp;".png"</f>
        <v>mun/20221125.png</v>
      </c>
      <c r="J86" s="7">
        <v>1</v>
      </c>
      <c r="K86" s="7">
        <v>1</v>
      </c>
      <c r="L86" s="6" t="s">
        <v>577</v>
      </c>
    </row>
    <row r="87" spans="1:12" x14ac:dyDescent="0.3">
      <c r="A87" s="7">
        <f>VLOOKUP(B87,Sheet3!A:B,2,0)</f>
        <v>49</v>
      </c>
      <c r="B87" s="6" t="s">
        <v>669</v>
      </c>
      <c r="C87" s="7">
        <v>20240625</v>
      </c>
      <c r="D87" s="7">
        <v>2</v>
      </c>
      <c r="E87" s="7" t="str">
        <f>VLOOKUP(B87,Sheet3!A:F,3,0)</f>
        <v>확률과 통계</v>
      </c>
      <c r="F87" s="7" t="str">
        <f>VLOOKUP(B87,Sheet3!A:F,4,0)</f>
        <v>2. 확률</v>
      </c>
      <c r="G87" s="7" t="str">
        <f>VLOOKUP(B87,Sheet3!A:F,5,0)</f>
        <v>O. 수학적 확률</v>
      </c>
      <c r="H87" s="7" t="str">
        <f>VLOOKUP(B87,Sheet3!A:F,6,0)</f>
        <v>수학적 확률</v>
      </c>
      <c r="I87" s="7" t="str">
        <f>"mun/"&amp;C87&amp;".png"</f>
        <v>mun/20240625.png</v>
      </c>
      <c r="J87" s="7">
        <v>3</v>
      </c>
      <c r="K87" s="7">
        <v>1</v>
      </c>
      <c r="L87" s="6" t="s">
        <v>602</v>
      </c>
    </row>
    <row r="88" spans="1:12" x14ac:dyDescent="0.3">
      <c r="A88" s="7">
        <f>VLOOKUP(B88,Sheet3!A:B,2,0)</f>
        <v>49</v>
      </c>
      <c r="B88" s="6" t="s">
        <v>669</v>
      </c>
      <c r="C88" s="7">
        <v>20240630</v>
      </c>
      <c r="D88" s="7">
        <v>4</v>
      </c>
      <c r="E88" s="7" t="str">
        <f>VLOOKUP(B88,Sheet3!A:F,3,0)</f>
        <v>확률과 통계</v>
      </c>
      <c r="F88" s="7" t="str">
        <f>VLOOKUP(B88,Sheet3!A:F,4,0)</f>
        <v>2. 확률</v>
      </c>
      <c r="G88" s="7" t="str">
        <f>VLOOKUP(B88,Sheet3!A:F,5,0)</f>
        <v>O. 수학적 확률</v>
      </c>
      <c r="H88" s="7" t="str">
        <f>VLOOKUP(B88,Sheet3!A:F,6,0)</f>
        <v>수학적 확률</v>
      </c>
      <c r="I88" s="7" t="str">
        <f>"mun/"&amp;C88&amp;".png"</f>
        <v>mun/20240630.png</v>
      </c>
      <c r="J88" s="7">
        <v>51</v>
      </c>
      <c r="K88" s="7">
        <v>1</v>
      </c>
      <c r="L88" s="8" t="s">
        <v>655</v>
      </c>
    </row>
    <row r="89" spans="1:12" x14ac:dyDescent="0.3">
      <c r="A89" s="7">
        <f>VLOOKUP(B89,Sheet3!A:B,2,0)</f>
        <v>44</v>
      </c>
      <c r="B89" s="6" t="s">
        <v>574</v>
      </c>
      <c r="C89" s="7">
        <v>20221128</v>
      </c>
      <c r="D89" s="7">
        <v>4</v>
      </c>
      <c r="E89" s="7" t="str">
        <f>VLOOKUP(B89,Sheet3!A:F,3,0)</f>
        <v>확률과 통계</v>
      </c>
      <c r="F89" s="7" t="str">
        <f>VLOOKUP(B89,Sheet3!A:F,4,0)</f>
        <v>1. 경우의 수</v>
      </c>
      <c r="G89" s="7" t="str">
        <f>VLOOKUP(B89,Sheet3!A:F,5,0)</f>
        <v>M. 여러 가지 순열과 중복 조합</v>
      </c>
      <c r="H89" s="7" t="str">
        <f>VLOOKUP(B89,Sheet3!A:F,6,0)</f>
        <v>중복 순열</v>
      </c>
      <c r="I89" s="7" t="str">
        <f>"mun/"&amp;C89&amp;".png"</f>
        <v>mun/20221128.png</v>
      </c>
      <c r="J89" s="7">
        <v>1</v>
      </c>
      <c r="K89" s="7">
        <v>1</v>
      </c>
      <c r="L89" s="6" t="s">
        <v>580</v>
      </c>
    </row>
    <row r="90" spans="1:12" x14ac:dyDescent="0.3">
      <c r="A90" s="7">
        <f>VLOOKUP(B90,Sheet3!A:B,2,0)</f>
        <v>49</v>
      </c>
      <c r="B90" s="6" t="s">
        <v>669</v>
      </c>
      <c r="C90" s="7">
        <v>20240925</v>
      </c>
      <c r="D90" s="7">
        <v>2</v>
      </c>
      <c r="E90" s="7" t="str">
        <f>VLOOKUP(B90,Sheet3!A:F,3,0)</f>
        <v>확률과 통계</v>
      </c>
      <c r="F90" s="7" t="str">
        <f>VLOOKUP(B90,Sheet3!A:F,4,0)</f>
        <v>2. 확률</v>
      </c>
      <c r="G90" s="7" t="str">
        <f>VLOOKUP(B90,Sheet3!A:F,5,0)</f>
        <v>O. 수학적 확률</v>
      </c>
      <c r="H90" s="7" t="str">
        <f>VLOOKUP(B90,Sheet3!A:F,6,0)</f>
        <v>수학적 확률</v>
      </c>
      <c r="I90" s="7" t="str">
        <f>"mun/"&amp;C90&amp;".png"</f>
        <v>mun/20240925.png</v>
      </c>
      <c r="J90" s="7">
        <v>3</v>
      </c>
      <c r="K90" s="7">
        <v>1</v>
      </c>
      <c r="L90" s="6" t="s">
        <v>608</v>
      </c>
    </row>
    <row r="91" spans="1:12" x14ac:dyDescent="0.3">
      <c r="A91" s="7">
        <f>VLOOKUP(B91,Sheet3!A:B,2,0)</f>
        <v>49</v>
      </c>
      <c r="B91" s="6" t="s">
        <v>669</v>
      </c>
      <c r="C91" s="7">
        <v>20240927</v>
      </c>
      <c r="D91" s="7">
        <v>3</v>
      </c>
      <c r="E91" s="7" t="str">
        <f>VLOOKUP(B91,Sheet3!A:F,3,0)</f>
        <v>확률과 통계</v>
      </c>
      <c r="F91" s="7" t="str">
        <f>VLOOKUP(B91,Sheet3!A:F,4,0)</f>
        <v>2. 확률</v>
      </c>
      <c r="G91" s="7" t="str">
        <f>VLOOKUP(B91,Sheet3!A:F,5,0)</f>
        <v>O. 수학적 확률</v>
      </c>
      <c r="H91" s="7" t="str">
        <f>VLOOKUP(B91,Sheet3!A:F,6,0)</f>
        <v>수학적 확률</v>
      </c>
      <c r="I91" s="7" t="str">
        <f>"mun/"&amp;C91&amp;".png"</f>
        <v>mun/20240927.png</v>
      </c>
      <c r="J91" s="7">
        <v>4</v>
      </c>
      <c r="K91" s="7">
        <v>1</v>
      </c>
      <c r="L91" s="8" t="s">
        <v>656</v>
      </c>
    </row>
    <row r="92" spans="1:12" x14ac:dyDescent="0.3">
      <c r="A92" s="7">
        <f>VLOOKUP(B92,Sheet3!A:B,2,0)</f>
        <v>2</v>
      </c>
      <c r="B92" s="6" t="s">
        <v>495</v>
      </c>
      <c r="C92" s="7">
        <v>20230601</v>
      </c>
      <c r="D92" s="7">
        <v>1</v>
      </c>
      <c r="E92" s="7" t="str">
        <f>VLOOKUP(B92,Sheet3!A:F,3,0)</f>
        <v>수학Ⅰ</v>
      </c>
      <c r="F92" s="7" t="str">
        <f>VLOOKUP(B92,Sheet3!A:F,4,0)</f>
        <v>1. 지수함수와 로그함수</v>
      </c>
      <c r="G92" s="7" t="str">
        <f>VLOOKUP(B92,Sheet3!A:F,5,0)</f>
        <v>A. 지수와 로그</v>
      </c>
      <c r="H92" s="7" t="str">
        <f>VLOOKUP(B92,Sheet3!A:F,6,0)</f>
        <v>지수의 연산</v>
      </c>
      <c r="I92" s="7" t="str">
        <f>"mun/"&amp;C92&amp;".png"</f>
        <v>mun/20230601.png</v>
      </c>
      <c r="J92" s="7">
        <v>1</v>
      </c>
      <c r="K92" s="7">
        <v>1</v>
      </c>
      <c r="L92" s="6" t="s">
        <v>390</v>
      </c>
    </row>
    <row r="93" spans="1:12" x14ac:dyDescent="0.3">
      <c r="A93" s="7">
        <f>VLOOKUP(B93,Sheet3!A:B,2,0)</f>
        <v>28</v>
      </c>
      <c r="B93" s="6" t="s">
        <v>519</v>
      </c>
      <c r="C93" s="7">
        <v>20230602</v>
      </c>
      <c r="D93" s="7">
        <v>1</v>
      </c>
      <c r="E93" s="7" t="str">
        <f>VLOOKUP(B93,Sheet3!A:F,3,0)</f>
        <v>수학Ⅱ</v>
      </c>
      <c r="F93" s="7" t="str">
        <f>VLOOKUP(B93,Sheet3!A:F,4,0)</f>
        <v>2. 미분</v>
      </c>
      <c r="G93" s="7" t="str">
        <f>VLOOKUP(B93,Sheet3!A:F,5,0)</f>
        <v>I. 도함수</v>
      </c>
      <c r="H93" s="7" t="str">
        <f>VLOOKUP(B93,Sheet3!A:F,6,0)</f>
        <v>미분계수와 도함수</v>
      </c>
      <c r="I93" s="7" t="str">
        <f>"mun/"&amp;C93&amp;".png"</f>
        <v>mun/20230602.png</v>
      </c>
      <c r="J93" s="7">
        <v>2</v>
      </c>
      <c r="K93" s="7">
        <v>1</v>
      </c>
      <c r="L93" s="6" t="s">
        <v>391</v>
      </c>
    </row>
    <row r="94" spans="1:12" x14ac:dyDescent="0.3">
      <c r="A94" s="7">
        <f>VLOOKUP(B94,Sheet3!A:B,2,0)</f>
        <v>12</v>
      </c>
      <c r="B94" s="6" t="s">
        <v>505</v>
      </c>
      <c r="C94" s="7">
        <v>20230603</v>
      </c>
      <c r="D94" s="7">
        <v>1</v>
      </c>
      <c r="E94" s="7" t="str">
        <f>VLOOKUP(B94,Sheet3!A:F,3,0)</f>
        <v>수학Ⅰ</v>
      </c>
      <c r="F94" s="7" t="str">
        <f>VLOOKUP(B94,Sheet3!A:F,4,0)</f>
        <v>2. 삼각함수</v>
      </c>
      <c r="G94" s="7" t="str">
        <f>VLOOKUP(B94,Sheet3!A:F,5,0)</f>
        <v>C. 삼각함수</v>
      </c>
      <c r="H94" s="7" t="str">
        <f>VLOOKUP(B94,Sheet3!A:F,6,0)</f>
        <v>삼각함수의 값</v>
      </c>
      <c r="I94" s="7" t="str">
        <f>"mun/"&amp;C94&amp;".png"</f>
        <v>mun/20230603.png</v>
      </c>
      <c r="J94" s="7">
        <v>4</v>
      </c>
      <c r="K94" s="7">
        <v>1</v>
      </c>
      <c r="L94" s="6" t="s">
        <v>392</v>
      </c>
    </row>
    <row r="95" spans="1:12" x14ac:dyDescent="0.3">
      <c r="A95" s="7">
        <f>VLOOKUP(B95,Sheet3!A:B,2,0)</f>
        <v>23</v>
      </c>
      <c r="B95" s="6" t="s">
        <v>515</v>
      </c>
      <c r="C95" s="7">
        <v>20230604</v>
      </c>
      <c r="D95" s="7">
        <v>2</v>
      </c>
      <c r="E95" s="7" t="str">
        <f>VLOOKUP(B95,Sheet3!A:F,3,0)</f>
        <v>수학Ⅱ</v>
      </c>
      <c r="F95" s="7" t="str">
        <f>VLOOKUP(B95,Sheet3!A:F,4,0)</f>
        <v>1. 함수의 극한과 연속</v>
      </c>
      <c r="G95" s="7" t="str">
        <f>VLOOKUP(B95,Sheet3!A:F,5,0)</f>
        <v>G. 함수의 극한</v>
      </c>
      <c r="H95" s="7" t="str">
        <f>VLOOKUP(B95,Sheet3!A:F,6,0)</f>
        <v>함수의 극한</v>
      </c>
      <c r="I95" s="7" t="str">
        <f>"mun/"&amp;C95&amp;".png"</f>
        <v>mun/20230604.png</v>
      </c>
      <c r="J95" s="7">
        <v>2</v>
      </c>
      <c r="K95" s="7">
        <v>1</v>
      </c>
      <c r="L95" s="6" t="s">
        <v>393</v>
      </c>
    </row>
    <row r="96" spans="1:12" x14ac:dyDescent="0.3">
      <c r="A96" s="7">
        <f>VLOOKUP(B96,Sheet3!A:B,2,0)</f>
        <v>17</v>
      </c>
      <c r="B96" s="6" t="s">
        <v>510</v>
      </c>
      <c r="C96" s="7">
        <v>20230605</v>
      </c>
      <c r="D96" s="7">
        <v>2</v>
      </c>
      <c r="E96" s="7" t="str">
        <f>VLOOKUP(B96,Sheet3!A:F,3,0)</f>
        <v>수학Ⅰ</v>
      </c>
      <c r="F96" s="7" t="str">
        <f>VLOOKUP(B96,Sheet3!A:F,4,0)</f>
        <v>3. 수열</v>
      </c>
      <c r="G96" s="7" t="str">
        <f>VLOOKUP(B96,Sheet3!A:F,5,0)</f>
        <v>D. 등차수열과 등비수열</v>
      </c>
      <c r="H96" s="7" t="str">
        <f>VLOOKUP(B96,Sheet3!A:F,6,0)</f>
        <v>등비수열</v>
      </c>
      <c r="I96" s="7" t="str">
        <f>"mun/"&amp;C96&amp;".png"</f>
        <v>mun/20230605.png</v>
      </c>
      <c r="J96" s="7">
        <v>3</v>
      </c>
      <c r="K96" s="7">
        <v>1</v>
      </c>
      <c r="L96" s="6" t="s">
        <v>394</v>
      </c>
    </row>
    <row r="97" spans="1:12" x14ac:dyDescent="0.3">
      <c r="A97" s="7">
        <f>VLOOKUP(B97,Sheet3!A:B,2,0)</f>
        <v>25</v>
      </c>
      <c r="B97" s="6" t="s">
        <v>517</v>
      </c>
      <c r="C97" s="7">
        <v>20230606</v>
      </c>
      <c r="D97" s="7">
        <v>2</v>
      </c>
      <c r="E97" s="7" t="str">
        <f>VLOOKUP(B97,Sheet3!A:F,3,0)</f>
        <v>수학Ⅱ</v>
      </c>
      <c r="F97" s="7" t="str">
        <f>VLOOKUP(B97,Sheet3!A:F,4,0)</f>
        <v>1. 함수의 극한과 연속</v>
      </c>
      <c r="G97" s="7" t="str">
        <f>VLOOKUP(B97,Sheet3!A:F,5,0)</f>
        <v>H. 함수의 연속</v>
      </c>
      <c r="H97" s="7" t="str">
        <f>VLOOKUP(B97,Sheet3!A:F,6,0)</f>
        <v>함수의 연속</v>
      </c>
      <c r="I97" s="7" t="str">
        <f>"mun/"&amp;C97&amp;".png"</f>
        <v>mun/20230606.png</v>
      </c>
      <c r="J97" s="7">
        <v>5</v>
      </c>
      <c r="K97" s="7">
        <v>1</v>
      </c>
      <c r="L97" s="6" t="s">
        <v>395</v>
      </c>
    </row>
    <row r="98" spans="1:12" x14ac:dyDescent="0.3">
      <c r="A98" s="7">
        <f>VLOOKUP(B98,Sheet3!A:B,2,0)</f>
        <v>14</v>
      </c>
      <c r="B98" s="6" t="s">
        <v>507</v>
      </c>
      <c r="C98" s="7">
        <v>20230607</v>
      </c>
      <c r="D98" s="7">
        <v>2</v>
      </c>
      <c r="E98" s="7" t="str">
        <f>VLOOKUP(B98,Sheet3!A:F,3,0)</f>
        <v>수학Ⅰ</v>
      </c>
      <c r="F98" s="7" t="str">
        <f>VLOOKUP(B98,Sheet3!A:F,4,0)</f>
        <v>2. 삼각함수</v>
      </c>
      <c r="G98" s="7" t="str">
        <f>VLOOKUP(B98,Sheet3!A:F,5,0)</f>
        <v>C. 삼각함수</v>
      </c>
      <c r="H98" s="7" t="str">
        <f>VLOOKUP(B98,Sheet3!A:F,6,0)</f>
        <v>함수의 최대 또는 최소</v>
      </c>
      <c r="I98" s="7" t="str">
        <f>"mun/"&amp;C98&amp;".png"</f>
        <v>mun/20230607.png</v>
      </c>
      <c r="J98" s="7">
        <v>4</v>
      </c>
      <c r="K98" s="7">
        <v>1</v>
      </c>
      <c r="L98" s="6" t="s">
        <v>396</v>
      </c>
    </row>
    <row r="99" spans="1:12" x14ac:dyDescent="0.3">
      <c r="A99" s="7">
        <f>VLOOKUP(B99,Sheet3!A:B,2,0)</f>
        <v>34</v>
      </c>
      <c r="B99" s="6" t="s">
        <v>525</v>
      </c>
      <c r="C99" s="7">
        <v>20230608</v>
      </c>
      <c r="D99" s="7">
        <v>2</v>
      </c>
      <c r="E99" s="7" t="str">
        <f>VLOOKUP(B99,Sheet3!A:F,3,0)</f>
        <v>수학Ⅱ</v>
      </c>
      <c r="F99" s="7" t="str">
        <f>VLOOKUP(B99,Sheet3!A:F,4,0)</f>
        <v>2. 미분</v>
      </c>
      <c r="G99" s="7" t="str">
        <f>VLOOKUP(B99,Sheet3!A:F,5,0)</f>
        <v>J. 도함수의 활용</v>
      </c>
      <c r="H99" s="7" t="str">
        <f>VLOOKUP(B99,Sheet3!A:F,6,0)</f>
        <v>그래프의 개형</v>
      </c>
      <c r="I99" s="7" t="str">
        <f>"mun/"&amp;C99&amp;".png"</f>
        <v>mun/20230608.png</v>
      </c>
      <c r="J99" s="7">
        <v>3</v>
      </c>
      <c r="K99" s="7">
        <v>1</v>
      </c>
      <c r="L99" s="6" t="s">
        <v>397</v>
      </c>
    </row>
    <row r="100" spans="1:12" x14ac:dyDescent="0.3">
      <c r="A100" s="7">
        <f>VLOOKUP(B100,Sheet3!A:B,2,0)</f>
        <v>32</v>
      </c>
      <c r="B100" s="6" t="s">
        <v>523</v>
      </c>
      <c r="C100" s="7">
        <v>20230609</v>
      </c>
      <c r="D100" s="7">
        <v>3</v>
      </c>
      <c r="E100" s="7" t="str">
        <f>VLOOKUP(B100,Sheet3!A:F,3,0)</f>
        <v>수학Ⅱ</v>
      </c>
      <c r="F100" s="7" t="str">
        <f>VLOOKUP(B100,Sheet3!A:F,4,0)</f>
        <v>2. 미분</v>
      </c>
      <c r="G100" s="7" t="str">
        <f>VLOOKUP(B100,Sheet3!A:F,5,0)</f>
        <v>J. 도함수의 활용</v>
      </c>
      <c r="H100" s="7" t="str">
        <f>VLOOKUP(B100,Sheet3!A:F,6,0)</f>
        <v>방정식과 부등식에의 활용</v>
      </c>
      <c r="I100" s="7" t="str">
        <f>"mun/"&amp;C100&amp;".png"</f>
        <v>mun/20230609.png</v>
      </c>
      <c r="J100" s="7">
        <v>5</v>
      </c>
      <c r="K100" s="7">
        <v>1</v>
      </c>
      <c r="L100" s="6" t="s">
        <v>398</v>
      </c>
    </row>
    <row r="101" spans="1:12" x14ac:dyDescent="0.3">
      <c r="A101" s="7">
        <f>VLOOKUP(B101,Sheet3!A:B,2,0)</f>
        <v>15</v>
      </c>
      <c r="B101" s="6" t="s">
        <v>508</v>
      </c>
      <c r="C101" s="7">
        <v>20230610</v>
      </c>
      <c r="D101" s="7">
        <v>3</v>
      </c>
      <c r="E101" s="7" t="str">
        <f>VLOOKUP(B101,Sheet3!A:F,3,0)</f>
        <v>수학Ⅰ</v>
      </c>
      <c r="F101" s="7" t="str">
        <f>VLOOKUP(B101,Sheet3!A:F,4,0)</f>
        <v>2. 삼각함수</v>
      </c>
      <c r="G101" s="7" t="str">
        <f>VLOOKUP(B101,Sheet3!A:F,5,0)</f>
        <v>C. 삼각함수</v>
      </c>
      <c r="H101" s="7" t="str">
        <f>VLOOKUP(B101,Sheet3!A:F,6,0)</f>
        <v>사인법칙과 코사인법칙</v>
      </c>
      <c r="I101" s="7" t="str">
        <f>"mun/"&amp;C101&amp;".png"</f>
        <v>mun/20230610.png</v>
      </c>
      <c r="J101" s="7">
        <v>3</v>
      </c>
      <c r="K101" s="7">
        <v>1</v>
      </c>
      <c r="L101" s="6" t="s">
        <v>399</v>
      </c>
    </row>
    <row r="102" spans="1:12" x14ac:dyDescent="0.3">
      <c r="A102" s="7">
        <f>VLOOKUP(B102,Sheet3!A:B,2,0)</f>
        <v>41</v>
      </c>
      <c r="B102" s="6" t="s">
        <v>532</v>
      </c>
      <c r="C102" s="7">
        <v>20230611</v>
      </c>
      <c r="D102" s="7">
        <v>3</v>
      </c>
      <c r="E102" s="7" t="str">
        <f>VLOOKUP(B102,Sheet3!A:F,3,0)</f>
        <v>수학Ⅱ</v>
      </c>
      <c r="F102" s="7" t="str">
        <f>VLOOKUP(B102,Sheet3!A:F,4,0)</f>
        <v>3. 적분</v>
      </c>
      <c r="G102" s="7" t="str">
        <f>VLOOKUP(B102,Sheet3!A:F,5,0)</f>
        <v>L. 정적분</v>
      </c>
      <c r="H102" s="7" t="str">
        <f>VLOOKUP(B102,Sheet3!A:F,6,0)</f>
        <v>속도와 거리</v>
      </c>
      <c r="I102" s="7" t="str">
        <f>"mun/"&amp;C102&amp;".png"</f>
        <v>mun/20230611.png</v>
      </c>
      <c r="J102" s="7">
        <v>5</v>
      </c>
      <c r="K102" s="7">
        <v>1</v>
      </c>
      <c r="L102" s="6" t="s">
        <v>400</v>
      </c>
    </row>
    <row r="103" spans="1:12" x14ac:dyDescent="0.3">
      <c r="A103" s="7">
        <f>VLOOKUP(B103,Sheet3!A:B,2,0)</f>
        <v>16</v>
      </c>
      <c r="B103" s="6" t="s">
        <v>509</v>
      </c>
      <c r="C103" s="7">
        <v>20230612</v>
      </c>
      <c r="D103" s="7">
        <v>4</v>
      </c>
      <c r="E103" s="7" t="str">
        <f>VLOOKUP(B103,Sheet3!A:F,3,0)</f>
        <v>수학Ⅰ</v>
      </c>
      <c r="F103" s="7" t="str">
        <f>VLOOKUP(B103,Sheet3!A:F,4,0)</f>
        <v>3. 수열</v>
      </c>
      <c r="G103" s="7" t="str">
        <f>VLOOKUP(B103,Sheet3!A:F,5,0)</f>
        <v>D. 등차수열과 등비수열</v>
      </c>
      <c r="H103" s="7" t="str">
        <f>VLOOKUP(B103,Sheet3!A:F,6,0)</f>
        <v>등차수열</v>
      </c>
      <c r="I103" s="7" t="str">
        <f>"mun/"&amp;C103&amp;".png"</f>
        <v>mun/20230612.png</v>
      </c>
      <c r="J103" s="7">
        <v>3</v>
      </c>
      <c r="K103" s="7">
        <v>1</v>
      </c>
      <c r="L103" s="6" t="s">
        <v>401</v>
      </c>
    </row>
    <row r="104" spans="1:12" x14ac:dyDescent="0.3">
      <c r="A104" s="7">
        <f>VLOOKUP(B104,Sheet3!A:B,2,0)</f>
        <v>10</v>
      </c>
      <c r="B104" s="6" t="s">
        <v>503</v>
      </c>
      <c r="C104" s="7">
        <v>20230613</v>
      </c>
      <c r="D104" s="7">
        <v>4</v>
      </c>
      <c r="E104" s="7" t="str">
        <f>VLOOKUP(B104,Sheet3!A:F,3,0)</f>
        <v>수학Ⅰ</v>
      </c>
      <c r="F104" s="7" t="str">
        <f>VLOOKUP(B104,Sheet3!A:F,4,0)</f>
        <v>1. 지수함수와 로그함수</v>
      </c>
      <c r="G104" s="7" t="str">
        <f>VLOOKUP(B104,Sheet3!A:F,5,0)</f>
        <v>B. 지수함수와 로그함수</v>
      </c>
      <c r="H104" s="7" t="str">
        <f>VLOOKUP(B104,Sheet3!A:F,6,0)</f>
        <v>그래프에서 도형의 성질</v>
      </c>
      <c r="I104" s="7" t="str">
        <f>"mun/"&amp;C104&amp;".png"</f>
        <v>mun/20230613.png</v>
      </c>
      <c r="J104" s="7">
        <v>1</v>
      </c>
      <c r="K104" s="7">
        <v>1</v>
      </c>
      <c r="L104" s="6" t="s">
        <v>402</v>
      </c>
    </row>
    <row r="105" spans="1:12" x14ac:dyDescent="0.3">
      <c r="A105" s="7">
        <f>VLOOKUP(B105,Sheet3!A:B,2,0)</f>
        <v>35</v>
      </c>
      <c r="B105" s="6" t="s">
        <v>526</v>
      </c>
      <c r="C105" s="7">
        <v>20230614</v>
      </c>
      <c r="D105" s="7">
        <v>4</v>
      </c>
      <c r="E105" s="7" t="str">
        <f>VLOOKUP(B105,Sheet3!A:F,3,0)</f>
        <v>수학Ⅱ</v>
      </c>
      <c r="F105" s="7" t="str">
        <f>VLOOKUP(B105,Sheet3!A:F,4,0)</f>
        <v>2. 미분</v>
      </c>
      <c r="G105" s="7" t="str">
        <f>VLOOKUP(B105,Sheet3!A:F,5,0)</f>
        <v>J. 도함수의 활용</v>
      </c>
      <c r="H105" s="7" t="str">
        <f>VLOOKUP(B105,Sheet3!A:F,6,0)</f>
        <v>함수의 추론</v>
      </c>
      <c r="I105" s="7" t="str">
        <f>"mun/"&amp;C105&amp;".png"</f>
        <v>mun/20230614.png</v>
      </c>
      <c r="J105" s="7">
        <v>4</v>
      </c>
      <c r="K105" s="7">
        <v>1</v>
      </c>
      <c r="L105" s="6" t="s">
        <v>403</v>
      </c>
    </row>
    <row r="106" spans="1:12" x14ac:dyDescent="0.3">
      <c r="A106" s="7">
        <f>VLOOKUP(B106,Sheet3!A:B,2,0)</f>
        <v>21</v>
      </c>
      <c r="B106" s="6" t="s">
        <v>514</v>
      </c>
      <c r="C106" s="7">
        <v>20230615</v>
      </c>
      <c r="D106" s="7">
        <v>5</v>
      </c>
      <c r="E106" s="7" t="str">
        <f>VLOOKUP(B106,Sheet3!A:F,3,0)</f>
        <v>수학Ⅰ</v>
      </c>
      <c r="F106" s="7" t="str">
        <f>VLOOKUP(B106,Sheet3!A:F,4,0)</f>
        <v>3. 수열</v>
      </c>
      <c r="G106" s="7" t="str">
        <f>VLOOKUP(B106,Sheet3!A:F,5,0)</f>
        <v>F. 수학적 귀납법</v>
      </c>
      <c r="H106" s="7" t="str">
        <f>VLOOKUP(B106,Sheet3!A:F,6,0)</f>
        <v>수열의 귀납적 정의</v>
      </c>
      <c r="I106" s="7" t="str">
        <f>"mun/"&amp;C106&amp;".png"</f>
        <v>mun/20230615.png</v>
      </c>
      <c r="J106" s="7">
        <v>2</v>
      </c>
      <c r="K106" s="7">
        <v>1</v>
      </c>
      <c r="L106" s="6" t="s">
        <v>404</v>
      </c>
    </row>
    <row r="107" spans="1:12" x14ac:dyDescent="0.3">
      <c r="A107" s="7">
        <f>VLOOKUP(B107,Sheet3!A:B,2,0)</f>
        <v>6</v>
      </c>
      <c r="B107" s="6" t="s">
        <v>499</v>
      </c>
      <c r="C107" s="7">
        <v>20230616</v>
      </c>
      <c r="D107" s="7">
        <v>1</v>
      </c>
      <c r="E107" s="7" t="str">
        <f>VLOOKUP(B107,Sheet3!A:F,3,0)</f>
        <v>수학Ⅰ</v>
      </c>
      <c r="F107" s="7" t="str">
        <f>VLOOKUP(B107,Sheet3!A:F,4,0)</f>
        <v>1. 지수함수와 로그함수</v>
      </c>
      <c r="G107" s="7" t="str">
        <f>VLOOKUP(B107,Sheet3!A:F,5,0)</f>
        <v>B. 지수함수와 로그함수</v>
      </c>
      <c r="H107" s="7" t="str">
        <f>VLOOKUP(B107,Sheet3!A:F,6,0)</f>
        <v>방정식과 부등식에의 활용</v>
      </c>
      <c r="I107" s="7" t="str">
        <f>"mun/"&amp;C107&amp;".png"</f>
        <v>mun/20230616.png</v>
      </c>
      <c r="J107" s="7">
        <v>6</v>
      </c>
      <c r="K107" s="7">
        <v>1</v>
      </c>
      <c r="L107" s="6" t="s">
        <v>405</v>
      </c>
    </row>
    <row r="108" spans="1:12" x14ac:dyDescent="0.3">
      <c r="A108" s="7">
        <f>VLOOKUP(B108,Sheet3!A:B,2,0)</f>
        <v>37</v>
      </c>
      <c r="B108" s="6" t="s">
        <v>528</v>
      </c>
      <c r="C108" s="7">
        <v>20230617</v>
      </c>
      <c r="D108" s="7">
        <v>1</v>
      </c>
      <c r="E108" s="7" t="str">
        <f>VLOOKUP(B108,Sheet3!A:F,3,0)</f>
        <v>수학Ⅱ</v>
      </c>
      <c r="F108" s="7" t="str">
        <f>VLOOKUP(B108,Sheet3!A:F,4,0)</f>
        <v>3. 적분</v>
      </c>
      <c r="G108" s="7" t="str">
        <f>VLOOKUP(B108,Sheet3!A:F,5,0)</f>
        <v>K. 부정적분</v>
      </c>
      <c r="H108" s="7" t="str">
        <f>VLOOKUP(B108,Sheet3!A:F,6,0)</f>
        <v>부정적분</v>
      </c>
      <c r="I108" s="7" t="str">
        <f>"mun/"&amp;C108&amp;".png"</f>
        <v>mun/20230617.png</v>
      </c>
      <c r="J108" s="7">
        <v>15</v>
      </c>
      <c r="K108" s="7">
        <v>1</v>
      </c>
      <c r="L108" s="6" t="s">
        <v>406</v>
      </c>
    </row>
    <row r="109" spans="1:12" x14ac:dyDescent="0.3">
      <c r="A109" s="7">
        <f>VLOOKUP(B109,Sheet3!A:B,2,0)</f>
        <v>18</v>
      </c>
      <c r="B109" s="6" t="s">
        <v>511</v>
      </c>
      <c r="C109" s="7">
        <v>20230618</v>
      </c>
      <c r="D109" s="7">
        <v>3</v>
      </c>
      <c r="E109" s="7" t="str">
        <f>VLOOKUP(B109,Sheet3!A:F,3,0)</f>
        <v>수학Ⅰ</v>
      </c>
      <c r="F109" s="7" t="str">
        <f>VLOOKUP(B109,Sheet3!A:F,4,0)</f>
        <v>3. 수열</v>
      </c>
      <c r="G109" s="7" t="str">
        <f>VLOOKUP(B109,Sheet3!A:F,5,0)</f>
        <v>E. 수열의 합</v>
      </c>
      <c r="H109" s="7" t="str">
        <f>VLOOKUP(B109,Sheet3!A:F,6,0)</f>
        <v>시그마의 뜻과 성질</v>
      </c>
      <c r="I109" s="7" t="str">
        <f>"mun/"&amp;C109&amp;".png"</f>
        <v>mun/20230618.png</v>
      </c>
      <c r="J109" s="7">
        <v>3</v>
      </c>
      <c r="K109" s="7">
        <v>1</v>
      </c>
      <c r="L109" s="6" t="s">
        <v>407</v>
      </c>
    </row>
    <row r="110" spans="1:12" x14ac:dyDescent="0.3">
      <c r="A110" s="7">
        <f>VLOOKUP(B110,Sheet3!A:B,2,0)</f>
        <v>33</v>
      </c>
      <c r="B110" s="6" t="s">
        <v>524</v>
      </c>
      <c r="C110" s="7">
        <v>20230619</v>
      </c>
      <c r="D110" s="7">
        <v>3</v>
      </c>
      <c r="E110" s="7" t="str">
        <f>VLOOKUP(B110,Sheet3!A:F,3,0)</f>
        <v>수학Ⅱ</v>
      </c>
      <c r="F110" s="7" t="str">
        <f>VLOOKUP(B110,Sheet3!A:F,4,0)</f>
        <v>2. 미분</v>
      </c>
      <c r="G110" s="7" t="str">
        <f>VLOOKUP(B110,Sheet3!A:F,5,0)</f>
        <v>J. 도함수의 활용</v>
      </c>
      <c r="H110" s="7" t="str">
        <f>VLOOKUP(B110,Sheet3!A:F,6,0)</f>
        <v>극대와 극소</v>
      </c>
      <c r="I110" s="7" t="str">
        <f>"mun/"&amp;C110&amp;".png"</f>
        <v>mun/20230619.png</v>
      </c>
      <c r="J110" s="7">
        <v>2</v>
      </c>
      <c r="K110" s="7">
        <v>1</v>
      </c>
      <c r="L110" s="6" t="s">
        <v>408</v>
      </c>
    </row>
    <row r="111" spans="1:12" x14ac:dyDescent="0.3">
      <c r="A111" s="7">
        <f>VLOOKUP(B111,Sheet3!A:B,2,0)</f>
        <v>39</v>
      </c>
      <c r="B111" s="6" t="s">
        <v>530</v>
      </c>
      <c r="C111" s="7">
        <v>20230620</v>
      </c>
      <c r="D111" s="7">
        <v>4</v>
      </c>
      <c r="E111" s="7" t="str">
        <f>VLOOKUP(B111,Sheet3!A:F,3,0)</f>
        <v>수학Ⅱ</v>
      </c>
      <c r="F111" s="7" t="str">
        <f>VLOOKUP(B111,Sheet3!A:F,4,0)</f>
        <v>3. 적분</v>
      </c>
      <c r="G111" s="7" t="str">
        <f>VLOOKUP(B111,Sheet3!A:F,5,0)</f>
        <v>L. 정적분</v>
      </c>
      <c r="H111" s="7" t="str">
        <f>VLOOKUP(B111,Sheet3!A:F,6,0)</f>
        <v>미적분학의 기본 정리</v>
      </c>
      <c r="I111" s="7" t="str">
        <f>"mun/"&amp;C111&amp;".png"</f>
        <v>mun/20230620.png</v>
      </c>
      <c r="J111" s="7">
        <v>13</v>
      </c>
      <c r="K111" s="7">
        <v>1</v>
      </c>
      <c r="L111" s="6" t="s">
        <v>409</v>
      </c>
    </row>
    <row r="112" spans="1:12" x14ac:dyDescent="0.3">
      <c r="A112" s="7">
        <f>VLOOKUP(B112,Sheet3!A:B,2,0)</f>
        <v>8</v>
      </c>
      <c r="B112" s="6" t="s">
        <v>501</v>
      </c>
      <c r="C112" s="7">
        <v>20230621</v>
      </c>
      <c r="D112" s="7">
        <v>4</v>
      </c>
      <c r="E112" s="7" t="str">
        <f>VLOOKUP(B112,Sheet3!A:F,3,0)</f>
        <v>수학Ⅰ</v>
      </c>
      <c r="F112" s="7" t="str">
        <f>VLOOKUP(B112,Sheet3!A:F,4,0)</f>
        <v>1. 지수함수와 로그함수</v>
      </c>
      <c r="G112" s="7" t="str">
        <f>VLOOKUP(B112,Sheet3!A:F,5,0)</f>
        <v>B. 지수함수와 로그함수</v>
      </c>
      <c r="H112" s="7" t="str">
        <f>VLOOKUP(B112,Sheet3!A:F,6,0)</f>
        <v>지수, 로그가 정수가 되기 위한 조건</v>
      </c>
      <c r="I112" s="7" t="str">
        <f>"mun/"&amp;C112&amp;".png"</f>
        <v>mun/20230621.png</v>
      </c>
      <c r="J112" s="7">
        <v>426</v>
      </c>
      <c r="K112" s="7">
        <v>1</v>
      </c>
      <c r="L112" s="6" t="s">
        <v>410</v>
      </c>
    </row>
    <row r="113" spans="1:12" x14ac:dyDescent="0.3">
      <c r="A113" s="7">
        <f>VLOOKUP(B113,Sheet3!A:B,2,0)</f>
        <v>35</v>
      </c>
      <c r="B113" s="6" t="s">
        <v>526</v>
      </c>
      <c r="C113" s="7">
        <v>20230622</v>
      </c>
      <c r="D113" s="7">
        <v>5</v>
      </c>
      <c r="E113" s="7" t="str">
        <f>VLOOKUP(B113,Sheet3!A:F,3,0)</f>
        <v>수학Ⅱ</v>
      </c>
      <c r="F113" s="7" t="str">
        <f>VLOOKUP(B113,Sheet3!A:F,4,0)</f>
        <v>2. 미분</v>
      </c>
      <c r="G113" s="7" t="str">
        <f>VLOOKUP(B113,Sheet3!A:F,5,0)</f>
        <v>J. 도함수의 활용</v>
      </c>
      <c r="H113" s="7" t="str">
        <f>VLOOKUP(B113,Sheet3!A:F,6,0)</f>
        <v>함수의 추론</v>
      </c>
      <c r="I113" s="7" t="str">
        <f>"mun/"&amp;C113&amp;".png"</f>
        <v>mun/20230622.png</v>
      </c>
      <c r="J113" s="7">
        <v>19</v>
      </c>
      <c r="K113" s="7">
        <v>1</v>
      </c>
      <c r="L113" s="8" t="s">
        <v>481</v>
      </c>
    </row>
    <row r="114" spans="1:12" x14ac:dyDescent="0.3">
      <c r="A114" s="7">
        <f>VLOOKUP(B114,Sheet3!A:B,2,0)</f>
        <v>45</v>
      </c>
      <c r="B114" s="6" t="s">
        <v>559</v>
      </c>
      <c r="C114" s="7">
        <v>20230623</v>
      </c>
      <c r="D114" s="7">
        <v>1</v>
      </c>
      <c r="E114" s="7" t="str">
        <f>VLOOKUP(B114,Sheet3!A:F,3,0)</f>
        <v>확률과 통계</v>
      </c>
      <c r="F114" s="7" t="str">
        <f>VLOOKUP(B114,Sheet3!A:F,4,0)</f>
        <v>1. 경우의 수</v>
      </c>
      <c r="G114" s="7" t="str">
        <f>VLOOKUP(B114,Sheet3!A:F,5,0)</f>
        <v>M. 여러 가지 순열과 중복 조합</v>
      </c>
      <c r="H114" s="7" t="str">
        <f>VLOOKUP(B114,Sheet3!A:F,6,0)</f>
        <v>같은 것이 있는 순열</v>
      </c>
      <c r="I114" s="7" t="str">
        <f>"mun/"&amp;C114&amp;".png"</f>
        <v>mun/20230623.png</v>
      </c>
      <c r="J114" s="7">
        <v>2</v>
      </c>
      <c r="K114" s="7">
        <v>1</v>
      </c>
      <c r="L114" s="6" t="s">
        <v>583</v>
      </c>
    </row>
    <row r="115" spans="1:12" x14ac:dyDescent="0.3">
      <c r="A115" s="7">
        <f>VLOOKUP(B115,Sheet3!A:B,2,0)</f>
        <v>49</v>
      </c>
      <c r="B115" s="6" t="s">
        <v>669</v>
      </c>
      <c r="C115" s="7">
        <v>20241125</v>
      </c>
      <c r="D115" s="7">
        <v>2</v>
      </c>
      <c r="E115" s="7" t="str">
        <f>VLOOKUP(B115,Sheet3!A:F,3,0)</f>
        <v>확률과 통계</v>
      </c>
      <c r="F115" s="7" t="str">
        <f>VLOOKUP(B115,Sheet3!A:F,4,0)</f>
        <v>2. 확률</v>
      </c>
      <c r="G115" s="7" t="str">
        <f>VLOOKUP(B115,Sheet3!A:F,5,0)</f>
        <v>O. 수학적 확률</v>
      </c>
      <c r="H115" s="7" t="str">
        <f>VLOOKUP(B115,Sheet3!A:F,6,0)</f>
        <v>수학적 확률</v>
      </c>
      <c r="I115" s="7" t="str">
        <f>"mun/"&amp;C115&amp;".png"</f>
        <v>mun/20241125.png</v>
      </c>
      <c r="J115" s="7">
        <v>5</v>
      </c>
      <c r="K115" s="7">
        <v>1</v>
      </c>
      <c r="L115" s="6" t="s">
        <v>612</v>
      </c>
    </row>
    <row r="116" spans="1:12" x14ac:dyDescent="0.3">
      <c r="A116" s="7">
        <f>VLOOKUP(B116,Sheet3!A:B,2,0)</f>
        <v>49</v>
      </c>
      <c r="B116" s="6" t="s">
        <v>669</v>
      </c>
      <c r="C116" s="7">
        <v>20250624</v>
      </c>
      <c r="D116" s="7">
        <v>1</v>
      </c>
      <c r="E116" s="7" t="str">
        <f>VLOOKUP(B116,Sheet3!A:F,3,0)</f>
        <v>확률과 통계</v>
      </c>
      <c r="F116" s="7" t="str">
        <f>VLOOKUP(B116,Sheet3!A:F,4,0)</f>
        <v>2. 확률</v>
      </c>
      <c r="G116" s="7" t="str">
        <f>VLOOKUP(B116,Sheet3!A:F,5,0)</f>
        <v>O. 수학적 확률</v>
      </c>
      <c r="H116" s="7" t="str">
        <f>VLOOKUP(B116,Sheet3!A:F,6,0)</f>
        <v>수학적 확률</v>
      </c>
      <c r="I116" s="7" t="str">
        <f>"mun/"&amp;C116&amp;".png"</f>
        <v>mun/20250624.png</v>
      </c>
      <c r="J116" s="7">
        <v>2</v>
      </c>
      <c r="K116" s="7">
        <v>1</v>
      </c>
      <c r="L116" s="6" t="s">
        <v>619</v>
      </c>
    </row>
    <row r="117" spans="1:12" x14ac:dyDescent="0.3">
      <c r="A117" s="7">
        <f>VLOOKUP(B117,Sheet3!A:B,2,0)</f>
        <v>47</v>
      </c>
      <c r="B117" s="6" t="s">
        <v>555</v>
      </c>
      <c r="C117" s="7">
        <v>20230626</v>
      </c>
      <c r="D117" s="7">
        <v>2</v>
      </c>
      <c r="E117" s="7" t="str">
        <f>VLOOKUP(B117,Sheet3!A:F,3,0)</f>
        <v>확률과 통계</v>
      </c>
      <c r="F117" s="7" t="str">
        <f>VLOOKUP(B117,Sheet3!A:F,4,0)</f>
        <v>1. 경우의 수</v>
      </c>
      <c r="G117" s="7" t="str">
        <f>VLOOKUP(B117,Sheet3!A:F,5,0)</f>
        <v>N. 이항정리와 이항계수</v>
      </c>
      <c r="H117" s="7" t="str">
        <f>VLOOKUP(B117,Sheet3!A:F,6,0)</f>
        <v>전개식의 계수</v>
      </c>
      <c r="I117" s="7" t="str">
        <f>"mun/"&amp;C117&amp;".png"</f>
        <v>mun/20230626.png</v>
      </c>
      <c r="J117" s="7">
        <v>2</v>
      </c>
      <c r="K117" s="7">
        <v>1</v>
      </c>
      <c r="L117" s="6" t="s">
        <v>586</v>
      </c>
    </row>
    <row r="118" spans="1:12" x14ac:dyDescent="0.3">
      <c r="A118" s="7">
        <f>VLOOKUP(B118,Sheet3!A:B,2,0)</f>
        <v>44</v>
      </c>
      <c r="B118" s="6" t="s">
        <v>574</v>
      </c>
      <c r="C118" s="7">
        <v>20230627</v>
      </c>
      <c r="D118" s="7">
        <v>3</v>
      </c>
      <c r="E118" s="7" t="str">
        <f>VLOOKUP(B118,Sheet3!A:F,3,0)</f>
        <v>확률과 통계</v>
      </c>
      <c r="F118" s="7" t="str">
        <f>VLOOKUP(B118,Sheet3!A:F,4,0)</f>
        <v>1. 경우의 수</v>
      </c>
      <c r="G118" s="7" t="str">
        <f>VLOOKUP(B118,Sheet3!A:F,5,0)</f>
        <v>M. 여러 가지 순열과 중복 조합</v>
      </c>
      <c r="H118" s="7" t="str">
        <f>VLOOKUP(B118,Sheet3!A:F,6,0)</f>
        <v>중복 순열</v>
      </c>
      <c r="I118" s="7" t="str">
        <f>"mun/"&amp;C118&amp;".png"</f>
        <v>mun/20230627.png</v>
      </c>
      <c r="J118" s="7">
        <v>3</v>
      </c>
      <c r="K118" s="7">
        <v>1</v>
      </c>
      <c r="L118" s="6" t="s">
        <v>587</v>
      </c>
    </row>
    <row r="119" spans="1:12" x14ac:dyDescent="0.3">
      <c r="A119" s="7">
        <f>VLOOKUP(B119,Sheet3!A:B,2,0)</f>
        <v>49</v>
      </c>
      <c r="B119" s="6" t="s">
        <v>669</v>
      </c>
      <c r="C119" s="7">
        <v>20250626</v>
      </c>
      <c r="D119" s="7">
        <v>2</v>
      </c>
      <c r="E119" s="7" t="str">
        <f>VLOOKUP(B119,Sheet3!A:F,3,0)</f>
        <v>확률과 통계</v>
      </c>
      <c r="F119" s="7" t="str">
        <f>VLOOKUP(B119,Sheet3!A:F,4,0)</f>
        <v>2. 확률</v>
      </c>
      <c r="G119" s="7" t="str">
        <f>VLOOKUP(B119,Sheet3!A:F,5,0)</f>
        <v>O. 수학적 확률</v>
      </c>
      <c r="H119" s="7" t="str">
        <f>VLOOKUP(B119,Sheet3!A:F,6,0)</f>
        <v>수학적 확률</v>
      </c>
      <c r="I119" s="7" t="str">
        <f>"mun/"&amp;C119&amp;".png"</f>
        <v>mun/20250626.png</v>
      </c>
      <c r="J119" s="7">
        <v>3</v>
      </c>
      <c r="K119" s="7">
        <v>1</v>
      </c>
      <c r="L119" s="6" t="s">
        <v>621</v>
      </c>
    </row>
    <row r="120" spans="1:12" x14ac:dyDescent="0.3">
      <c r="A120" s="7">
        <f>VLOOKUP(B120,Sheet3!A:B,2,0)</f>
        <v>46</v>
      </c>
      <c r="B120" s="6" t="s">
        <v>644</v>
      </c>
      <c r="C120" s="7">
        <v>20230629</v>
      </c>
      <c r="D120" s="7">
        <v>4</v>
      </c>
      <c r="E120" s="7" t="str">
        <f>VLOOKUP(B120,Sheet3!A:F,3,0)</f>
        <v>확률과 통계</v>
      </c>
      <c r="F120" s="7" t="str">
        <f>VLOOKUP(B120,Sheet3!A:F,4,0)</f>
        <v>1. 경우의 수</v>
      </c>
      <c r="G120" s="7" t="str">
        <f>VLOOKUP(B120,Sheet3!A:F,5,0)</f>
        <v>M. 여러 가지 순열과 중복 조합</v>
      </c>
      <c r="H120" s="7" t="str">
        <f>VLOOKUP(B120,Sheet3!A:F,6,0)</f>
        <v>중복 조합</v>
      </c>
      <c r="I120" s="7" t="str">
        <f>"mun/"&amp;C120&amp;".png"</f>
        <v>mun/20230629.png</v>
      </c>
      <c r="J120" s="7">
        <v>115</v>
      </c>
      <c r="K120" s="7">
        <v>1</v>
      </c>
      <c r="L120" s="8" t="s">
        <v>647</v>
      </c>
    </row>
    <row r="121" spans="1:12" x14ac:dyDescent="0.3">
      <c r="A121" s="7">
        <f>VLOOKUP(B121,Sheet3!A:B,2,0)</f>
        <v>49</v>
      </c>
      <c r="B121" s="6" t="s">
        <v>669</v>
      </c>
      <c r="C121" s="7">
        <v>20250629</v>
      </c>
      <c r="D121" s="7">
        <v>4</v>
      </c>
      <c r="E121" s="7" t="str">
        <f>VLOOKUP(B121,Sheet3!A:F,3,0)</f>
        <v>확률과 통계</v>
      </c>
      <c r="F121" s="7" t="str">
        <f>VLOOKUP(B121,Sheet3!A:F,4,0)</f>
        <v>2. 확률</v>
      </c>
      <c r="G121" s="7" t="str">
        <f>VLOOKUP(B121,Sheet3!A:F,5,0)</f>
        <v>O. 수학적 확률</v>
      </c>
      <c r="H121" s="7" t="str">
        <f>VLOOKUP(B121,Sheet3!A:F,6,0)</f>
        <v>수학적 확률</v>
      </c>
      <c r="I121" s="7" t="str">
        <f>"mun/"&amp;C121&amp;".png"</f>
        <v>mun/20250629.png</v>
      </c>
      <c r="J121" s="7">
        <v>6</v>
      </c>
      <c r="K121" s="7">
        <v>1</v>
      </c>
      <c r="L121" s="6" t="s">
        <v>623</v>
      </c>
    </row>
    <row r="122" spans="1:12" x14ac:dyDescent="0.3">
      <c r="A122" s="7">
        <f>VLOOKUP(B122,Sheet3!A:B,2,0)</f>
        <v>2</v>
      </c>
      <c r="B122" s="6" t="s">
        <v>495</v>
      </c>
      <c r="C122" s="7">
        <v>20230901</v>
      </c>
      <c r="D122" s="7">
        <v>1</v>
      </c>
      <c r="E122" s="7" t="str">
        <f>VLOOKUP(B122,Sheet3!A:F,3,0)</f>
        <v>수학Ⅰ</v>
      </c>
      <c r="F122" s="7" t="str">
        <f>VLOOKUP(B122,Sheet3!A:F,4,0)</f>
        <v>1. 지수함수와 로그함수</v>
      </c>
      <c r="G122" s="7" t="str">
        <f>VLOOKUP(B122,Sheet3!A:F,5,0)</f>
        <v>A. 지수와 로그</v>
      </c>
      <c r="H122" s="7" t="str">
        <f>VLOOKUP(B122,Sheet3!A:F,6,0)</f>
        <v>지수의 연산</v>
      </c>
      <c r="I122" s="7" t="str">
        <f>"mun/"&amp;C122&amp;".png"</f>
        <v>mun/20230901.png</v>
      </c>
      <c r="J122" s="7">
        <v>4</v>
      </c>
      <c r="K122" s="7">
        <v>1</v>
      </c>
      <c r="L122" s="6" t="s">
        <v>368</v>
      </c>
    </row>
    <row r="123" spans="1:12" x14ac:dyDescent="0.3">
      <c r="A123" s="7">
        <f>VLOOKUP(B123,Sheet3!A:B,2,0)</f>
        <v>28</v>
      </c>
      <c r="B123" s="6" t="s">
        <v>519</v>
      </c>
      <c r="C123" s="7">
        <v>20230902</v>
      </c>
      <c r="D123" s="7">
        <v>1</v>
      </c>
      <c r="E123" s="7" t="str">
        <f>VLOOKUP(B123,Sheet3!A:F,3,0)</f>
        <v>수학Ⅱ</v>
      </c>
      <c r="F123" s="7" t="str">
        <f>VLOOKUP(B123,Sheet3!A:F,4,0)</f>
        <v>2. 미분</v>
      </c>
      <c r="G123" s="7" t="str">
        <f>VLOOKUP(B123,Sheet3!A:F,5,0)</f>
        <v>I. 도함수</v>
      </c>
      <c r="H123" s="7" t="str">
        <f>VLOOKUP(B123,Sheet3!A:F,6,0)</f>
        <v>미분계수와 도함수</v>
      </c>
      <c r="I123" s="7" t="str">
        <f>"mun/"&amp;C123&amp;".png"</f>
        <v>mun/20230902.png</v>
      </c>
      <c r="J123" s="7">
        <v>1</v>
      </c>
      <c r="K123" s="7">
        <v>1</v>
      </c>
      <c r="L123" s="6" t="s">
        <v>369</v>
      </c>
    </row>
    <row r="124" spans="1:12" x14ac:dyDescent="0.3">
      <c r="A124" s="7">
        <f>VLOOKUP(B124,Sheet3!A:B,2,0)</f>
        <v>12</v>
      </c>
      <c r="B124" s="6" t="s">
        <v>505</v>
      </c>
      <c r="C124" s="7">
        <v>20230903</v>
      </c>
      <c r="D124" s="7">
        <v>1</v>
      </c>
      <c r="E124" s="7" t="str">
        <f>VLOOKUP(B124,Sheet3!A:F,3,0)</f>
        <v>수학Ⅰ</v>
      </c>
      <c r="F124" s="7" t="str">
        <f>VLOOKUP(B124,Sheet3!A:F,4,0)</f>
        <v>2. 삼각함수</v>
      </c>
      <c r="G124" s="7" t="str">
        <f>VLOOKUP(B124,Sheet3!A:F,5,0)</f>
        <v>C. 삼각함수</v>
      </c>
      <c r="H124" s="7" t="str">
        <f>VLOOKUP(B124,Sheet3!A:F,6,0)</f>
        <v>삼각함수의 값</v>
      </c>
      <c r="I124" s="7" t="str">
        <f>"mun/"&amp;C124&amp;".png"</f>
        <v>mun/20230903.png</v>
      </c>
      <c r="J124" s="7">
        <v>2</v>
      </c>
      <c r="K124" s="7">
        <v>1</v>
      </c>
      <c r="L124" s="6" t="s">
        <v>370</v>
      </c>
    </row>
    <row r="125" spans="1:12" x14ac:dyDescent="0.3">
      <c r="A125" s="7">
        <f>VLOOKUP(B125,Sheet3!A:B,2,0)</f>
        <v>25</v>
      </c>
      <c r="B125" s="6" t="s">
        <v>517</v>
      </c>
      <c r="C125" s="7">
        <v>20230904</v>
      </c>
      <c r="D125" s="7">
        <v>2</v>
      </c>
      <c r="E125" s="7" t="str">
        <f>VLOOKUP(B125,Sheet3!A:F,3,0)</f>
        <v>수학Ⅱ</v>
      </c>
      <c r="F125" s="7" t="str">
        <f>VLOOKUP(B125,Sheet3!A:F,4,0)</f>
        <v>1. 함수의 극한과 연속</v>
      </c>
      <c r="G125" s="7" t="str">
        <f>VLOOKUP(B125,Sheet3!A:F,5,0)</f>
        <v>H. 함수의 연속</v>
      </c>
      <c r="H125" s="7" t="str">
        <f>VLOOKUP(B125,Sheet3!A:F,6,0)</f>
        <v>함수의 연속</v>
      </c>
      <c r="I125" s="7" t="str">
        <f>"mun/"&amp;C125&amp;".png"</f>
        <v>mun/20230904.png</v>
      </c>
      <c r="J125" s="7">
        <v>1</v>
      </c>
      <c r="K125" s="7">
        <v>1</v>
      </c>
      <c r="L125" s="6" t="s">
        <v>371</v>
      </c>
    </row>
    <row r="126" spans="1:12" x14ac:dyDescent="0.3">
      <c r="A126" s="7">
        <f>VLOOKUP(B126,Sheet3!A:B,2,0)</f>
        <v>16</v>
      </c>
      <c r="B126" s="6" t="s">
        <v>509</v>
      </c>
      <c r="C126" s="7">
        <v>20230905</v>
      </c>
      <c r="D126" s="7">
        <v>2</v>
      </c>
      <c r="E126" s="7" t="str">
        <f>VLOOKUP(B126,Sheet3!A:F,3,0)</f>
        <v>수학Ⅰ</v>
      </c>
      <c r="F126" s="7" t="str">
        <f>VLOOKUP(B126,Sheet3!A:F,4,0)</f>
        <v>3. 수열</v>
      </c>
      <c r="G126" s="7" t="str">
        <f>VLOOKUP(B126,Sheet3!A:F,5,0)</f>
        <v>D. 등차수열과 등비수열</v>
      </c>
      <c r="H126" s="7" t="str">
        <f>VLOOKUP(B126,Sheet3!A:F,6,0)</f>
        <v>등차수열</v>
      </c>
      <c r="I126" s="7" t="str">
        <f>"mun/"&amp;C126&amp;".png"</f>
        <v>mun/20230905.png</v>
      </c>
      <c r="J126" s="7">
        <v>3</v>
      </c>
      <c r="K126" s="7">
        <v>1</v>
      </c>
      <c r="L126" s="6" t="s">
        <v>372</v>
      </c>
    </row>
    <row r="127" spans="1:12" x14ac:dyDescent="0.3">
      <c r="A127" s="7">
        <f>VLOOKUP(B127,Sheet3!A:B,2,0)</f>
        <v>33</v>
      </c>
      <c r="B127" s="6" t="s">
        <v>524</v>
      </c>
      <c r="C127" s="7">
        <v>20230906</v>
      </c>
      <c r="D127" s="7">
        <v>2</v>
      </c>
      <c r="E127" s="7" t="str">
        <f>VLOOKUP(B127,Sheet3!A:F,3,0)</f>
        <v>수학Ⅱ</v>
      </c>
      <c r="F127" s="7" t="str">
        <f>VLOOKUP(B127,Sheet3!A:F,4,0)</f>
        <v>2. 미분</v>
      </c>
      <c r="G127" s="7" t="str">
        <f>VLOOKUP(B127,Sheet3!A:F,5,0)</f>
        <v>J. 도함수의 활용</v>
      </c>
      <c r="H127" s="7" t="str">
        <f>VLOOKUP(B127,Sheet3!A:F,6,0)</f>
        <v>극대와 극소</v>
      </c>
      <c r="I127" s="7" t="str">
        <f>"mun/"&amp;C127&amp;".png"</f>
        <v>mun/20230906.png</v>
      </c>
      <c r="J127" s="7">
        <v>5</v>
      </c>
      <c r="K127" s="7">
        <v>1</v>
      </c>
      <c r="L127" s="6" t="s">
        <v>373</v>
      </c>
    </row>
    <row r="128" spans="1:12" x14ac:dyDescent="0.3">
      <c r="A128" s="7">
        <f>VLOOKUP(B128,Sheet3!A:B,2,0)</f>
        <v>20</v>
      </c>
      <c r="B128" s="6" t="s">
        <v>513</v>
      </c>
      <c r="C128" s="7">
        <v>20230907</v>
      </c>
      <c r="D128" s="7">
        <v>2</v>
      </c>
      <c r="E128" s="7" t="str">
        <f>VLOOKUP(B128,Sheet3!A:F,3,0)</f>
        <v>수학Ⅰ</v>
      </c>
      <c r="F128" s="7" t="str">
        <f>VLOOKUP(B128,Sheet3!A:F,4,0)</f>
        <v>3. 수열</v>
      </c>
      <c r="G128" s="7" t="str">
        <f>VLOOKUP(B128,Sheet3!A:F,5,0)</f>
        <v>E. 수열의 합</v>
      </c>
      <c r="H128" s="7" t="str">
        <f>VLOOKUP(B128,Sheet3!A:F,6,0)</f>
        <v>여러 가지 수열의 합</v>
      </c>
      <c r="I128" s="7" t="str">
        <f>"mun/"&amp;C128&amp;".png"</f>
        <v>mun/20230907.png</v>
      </c>
      <c r="J128" s="7">
        <v>5</v>
      </c>
      <c r="K128" s="7">
        <v>1</v>
      </c>
      <c r="L128" s="6" t="s">
        <v>374</v>
      </c>
    </row>
    <row r="129" spans="1:12" x14ac:dyDescent="0.3">
      <c r="A129" s="7">
        <f>VLOOKUP(B129,Sheet3!A:B,2,0)</f>
        <v>31</v>
      </c>
      <c r="B129" s="6" t="s">
        <v>522</v>
      </c>
      <c r="C129" s="7">
        <v>20230908</v>
      </c>
      <c r="D129" s="7">
        <v>2</v>
      </c>
      <c r="E129" s="7" t="str">
        <f>VLOOKUP(B129,Sheet3!A:F,3,0)</f>
        <v>수학Ⅱ</v>
      </c>
      <c r="F129" s="7" t="str">
        <f>VLOOKUP(B129,Sheet3!A:F,4,0)</f>
        <v>2. 미분</v>
      </c>
      <c r="G129" s="7" t="str">
        <f>VLOOKUP(B129,Sheet3!A:F,5,0)</f>
        <v>J. 도함수의 활용</v>
      </c>
      <c r="H129" s="7" t="str">
        <f>VLOOKUP(B129,Sheet3!A:F,6,0)</f>
        <v>접선의 방정식</v>
      </c>
      <c r="I129" s="7" t="str">
        <f>"mun/"&amp;C129&amp;".png"</f>
        <v>mun/20230908.png</v>
      </c>
      <c r="J129" s="7">
        <v>1</v>
      </c>
      <c r="K129" s="7">
        <v>1</v>
      </c>
      <c r="L129" s="6" t="s">
        <v>375</v>
      </c>
    </row>
    <row r="130" spans="1:12" x14ac:dyDescent="0.3">
      <c r="A130" s="7">
        <f>VLOOKUP(B130,Sheet3!A:B,2,0)</f>
        <v>13</v>
      </c>
      <c r="B130" s="6" t="s">
        <v>506</v>
      </c>
      <c r="C130" s="7">
        <v>20230909</v>
      </c>
      <c r="D130" s="7">
        <v>3</v>
      </c>
      <c r="E130" s="7" t="str">
        <f>VLOOKUP(B130,Sheet3!A:F,3,0)</f>
        <v>수학Ⅰ</v>
      </c>
      <c r="F130" s="7" t="str">
        <f>VLOOKUP(B130,Sheet3!A:F,4,0)</f>
        <v>2. 삼각함수</v>
      </c>
      <c r="G130" s="7" t="str">
        <f>VLOOKUP(B130,Sheet3!A:F,5,0)</f>
        <v>C. 삼각함수</v>
      </c>
      <c r="H130" s="7" t="str">
        <f>VLOOKUP(B130,Sheet3!A:F,6,0)</f>
        <v>방정식과 부등식에의 활용</v>
      </c>
      <c r="I130" s="7" t="str">
        <f>"mun/"&amp;C130&amp;".png"</f>
        <v>mun/20230909.png</v>
      </c>
      <c r="J130" s="7">
        <v>3</v>
      </c>
      <c r="K130" s="7">
        <v>1</v>
      </c>
      <c r="L130" s="6" t="s">
        <v>376</v>
      </c>
    </row>
    <row r="131" spans="1:12" x14ac:dyDescent="0.3">
      <c r="A131" s="7">
        <f>VLOOKUP(B131,Sheet3!A:B,2,0)</f>
        <v>41</v>
      </c>
      <c r="B131" s="6" t="s">
        <v>532</v>
      </c>
      <c r="C131" s="7">
        <v>20230910</v>
      </c>
      <c r="D131" s="7">
        <v>3</v>
      </c>
      <c r="E131" s="7" t="str">
        <f>VLOOKUP(B131,Sheet3!A:F,3,0)</f>
        <v>수학Ⅱ</v>
      </c>
      <c r="F131" s="7" t="str">
        <f>VLOOKUP(B131,Sheet3!A:F,4,0)</f>
        <v>3. 적분</v>
      </c>
      <c r="G131" s="7" t="str">
        <f>VLOOKUP(B131,Sheet3!A:F,5,0)</f>
        <v>L. 정적분</v>
      </c>
      <c r="H131" s="7" t="str">
        <f>VLOOKUP(B131,Sheet3!A:F,6,0)</f>
        <v>속도와 거리</v>
      </c>
      <c r="I131" s="7" t="str">
        <f>"mun/"&amp;C131&amp;".png"</f>
        <v>mun/20230910.png</v>
      </c>
      <c r="J131" s="7">
        <v>4</v>
      </c>
      <c r="K131" s="7">
        <v>1</v>
      </c>
      <c r="L131" s="6" t="s">
        <v>377</v>
      </c>
    </row>
    <row r="132" spans="1:12" x14ac:dyDescent="0.3">
      <c r="A132" s="7">
        <f>VLOOKUP(B132,Sheet3!A:B,2,0)</f>
        <v>1</v>
      </c>
      <c r="B132" s="6" t="s">
        <v>494</v>
      </c>
      <c r="C132" s="7">
        <v>20230911</v>
      </c>
      <c r="D132" s="7">
        <v>3</v>
      </c>
      <c r="E132" s="7" t="str">
        <f>VLOOKUP(B132,Sheet3!A:F,3,0)</f>
        <v>수학Ⅰ</v>
      </c>
      <c r="F132" s="7" t="str">
        <f>VLOOKUP(B132,Sheet3!A:F,4,0)</f>
        <v>1. 지수함수와 로그함수</v>
      </c>
      <c r="G132" s="7" t="str">
        <f>VLOOKUP(B132,Sheet3!A:F,5,0)</f>
        <v>A. 지수와 로그</v>
      </c>
      <c r="H132" s="7" t="str">
        <f>VLOOKUP(B132,Sheet3!A:F,6,0)</f>
        <v>거듭제곱근</v>
      </c>
      <c r="I132" s="7" t="str">
        <f>"mun/"&amp;C132&amp;".png"</f>
        <v>mun/20230911.png</v>
      </c>
      <c r="J132" s="7">
        <v>2</v>
      </c>
      <c r="K132" s="7">
        <v>1</v>
      </c>
      <c r="L132" s="6" t="s">
        <v>378</v>
      </c>
    </row>
    <row r="133" spans="1:12" x14ac:dyDescent="0.3">
      <c r="A133" s="7">
        <f>VLOOKUP(B133,Sheet3!A:B,2,0)</f>
        <v>24</v>
      </c>
      <c r="B133" s="6" t="s">
        <v>516</v>
      </c>
      <c r="C133" s="7">
        <v>20230912</v>
      </c>
      <c r="D133" s="7">
        <v>4</v>
      </c>
      <c r="E133" s="7" t="str">
        <f>VLOOKUP(B133,Sheet3!A:F,3,0)</f>
        <v>수학Ⅱ</v>
      </c>
      <c r="F133" s="7" t="str">
        <f>VLOOKUP(B133,Sheet3!A:F,4,0)</f>
        <v>1. 함수의 극한과 연속</v>
      </c>
      <c r="G133" s="7" t="str">
        <f>VLOOKUP(B133,Sheet3!A:F,5,0)</f>
        <v>G. 함수의 극한</v>
      </c>
      <c r="H133" s="7" t="str">
        <f>VLOOKUP(B133,Sheet3!A:F,6,0)</f>
        <v>그래프와 도형의 성질에 관한 극한</v>
      </c>
      <c r="I133" s="7" t="str">
        <f>"mun/"&amp;C133&amp;".png"</f>
        <v>mun/20230912.png</v>
      </c>
      <c r="J133" s="7">
        <v>2</v>
      </c>
      <c r="K133" s="7">
        <v>1</v>
      </c>
      <c r="L133" s="6" t="s">
        <v>379</v>
      </c>
    </row>
    <row r="134" spans="1:12" x14ac:dyDescent="0.3">
      <c r="A134" s="7">
        <f>VLOOKUP(B134,Sheet3!A:B,2,0)</f>
        <v>15</v>
      </c>
      <c r="B134" s="6" t="s">
        <v>508</v>
      </c>
      <c r="C134" s="7">
        <v>20230913</v>
      </c>
      <c r="D134" s="7">
        <v>4</v>
      </c>
      <c r="E134" s="7" t="str">
        <f>VLOOKUP(B134,Sheet3!A:F,3,0)</f>
        <v>수학Ⅰ</v>
      </c>
      <c r="F134" s="7" t="str">
        <f>VLOOKUP(B134,Sheet3!A:F,4,0)</f>
        <v>2. 삼각함수</v>
      </c>
      <c r="G134" s="7" t="str">
        <f>VLOOKUP(B134,Sheet3!A:F,5,0)</f>
        <v>C. 삼각함수</v>
      </c>
      <c r="H134" s="7" t="str">
        <f>VLOOKUP(B134,Sheet3!A:F,6,0)</f>
        <v>사인법칙과 코사인법칙</v>
      </c>
      <c r="I134" s="7" t="str">
        <f>"mun/"&amp;C134&amp;".png"</f>
        <v>mun/20230913.png</v>
      </c>
      <c r="J134" s="7">
        <v>5</v>
      </c>
      <c r="K134" s="7">
        <v>1</v>
      </c>
      <c r="L134" s="6" t="s">
        <v>380</v>
      </c>
    </row>
    <row r="135" spans="1:12" x14ac:dyDescent="0.3">
      <c r="A135" s="7">
        <f>VLOOKUP(B135,Sheet3!A:B,2,0)</f>
        <v>39</v>
      </c>
      <c r="B135" s="6" t="s">
        <v>530</v>
      </c>
      <c r="C135" s="7">
        <v>20230914</v>
      </c>
      <c r="D135" s="7">
        <v>4</v>
      </c>
      <c r="E135" s="7" t="str">
        <f>VLOOKUP(B135,Sheet3!A:F,3,0)</f>
        <v>수학Ⅱ</v>
      </c>
      <c r="F135" s="7" t="str">
        <f>VLOOKUP(B135,Sheet3!A:F,4,0)</f>
        <v>3. 적분</v>
      </c>
      <c r="G135" s="7" t="str">
        <f>VLOOKUP(B135,Sheet3!A:F,5,0)</f>
        <v>L. 정적분</v>
      </c>
      <c r="H135" s="7" t="str">
        <f>VLOOKUP(B135,Sheet3!A:F,6,0)</f>
        <v>미적분학의 기본 정리</v>
      </c>
      <c r="I135" s="7" t="str">
        <f>"mun/"&amp;C135&amp;".png"</f>
        <v>mun/20230914.png</v>
      </c>
      <c r="J135" s="7">
        <v>5</v>
      </c>
      <c r="K135" s="7">
        <v>1</v>
      </c>
      <c r="L135" s="6" t="s">
        <v>381</v>
      </c>
    </row>
    <row r="136" spans="1:12" x14ac:dyDescent="0.3">
      <c r="A136" s="7">
        <f>VLOOKUP(B136,Sheet3!A:B,2,0)</f>
        <v>21</v>
      </c>
      <c r="B136" s="6" t="s">
        <v>514</v>
      </c>
      <c r="C136" s="7">
        <v>20230915</v>
      </c>
      <c r="D136" s="7">
        <v>5</v>
      </c>
      <c r="E136" s="7" t="str">
        <f>VLOOKUP(B136,Sheet3!A:F,3,0)</f>
        <v>수학Ⅰ</v>
      </c>
      <c r="F136" s="7" t="str">
        <f>VLOOKUP(B136,Sheet3!A:F,4,0)</f>
        <v>3. 수열</v>
      </c>
      <c r="G136" s="7" t="str">
        <f>VLOOKUP(B136,Sheet3!A:F,5,0)</f>
        <v>F. 수학적 귀납법</v>
      </c>
      <c r="H136" s="7" t="str">
        <f>VLOOKUP(B136,Sheet3!A:F,6,0)</f>
        <v>수열의 귀납적 정의</v>
      </c>
      <c r="I136" s="7" t="str">
        <f>"mun/"&amp;C136&amp;".png"</f>
        <v>mun/20230915.png</v>
      </c>
      <c r="J136" s="7">
        <v>3</v>
      </c>
      <c r="K136" s="7">
        <v>1</v>
      </c>
      <c r="L136" s="6" t="s">
        <v>382</v>
      </c>
    </row>
    <row r="137" spans="1:12" x14ac:dyDescent="0.3">
      <c r="A137" s="7">
        <f>VLOOKUP(B137,Sheet3!A:B,2,0)</f>
        <v>6</v>
      </c>
      <c r="B137" s="6" t="s">
        <v>499</v>
      </c>
      <c r="C137" s="7">
        <v>20230916</v>
      </c>
      <c r="D137" s="7">
        <v>1</v>
      </c>
      <c r="E137" s="7" t="str">
        <f>VLOOKUP(B137,Sheet3!A:F,3,0)</f>
        <v>수학Ⅰ</v>
      </c>
      <c r="F137" s="7" t="str">
        <f>VLOOKUP(B137,Sheet3!A:F,4,0)</f>
        <v>1. 지수함수와 로그함수</v>
      </c>
      <c r="G137" s="7" t="str">
        <f>VLOOKUP(B137,Sheet3!A:F,5,0)</f>
        <v>B. 지수함수와 로그함수</v>
      </c>
      <c r="H137" s="7" t="str">
        <f>VLOOKUP(B137,Sheet3!A:F,6,0)</f>
        <v>방정식과 부등식에의 활용</v>
      </c>
      <c r="I137" s="7" t="str">
        <f>"mun/"&amp;C137&amp;".png"</f>
        <v>mun/20230916.png</v>
      </c>
      <c r="J137" s="7">
        <v>7</v>
      </c>
      <c r="K137" s="7">
        <v>1</v>
      </c>
      <c r="L137" s="6" t="s">
        <v>383</v>
      </c>
    </row>
    <row r="138" spans="1:12" x14ac:dyDescent="0.3">
      <c r="A138" s="7">
        <f>VLOOKUP(B138,Sheet3!A:B,2,0)</f>
        <v>37</v>
      </c>
      <c r="B138" s="6" t="s">
        <v>528</v>
      </c>
      <c r="C138" s="7">
        <v>20230917</v>
      </c>
      <c r="D138" s="7">
        <v>1</v>
      </c>
      <c r="E138" s="7" t="str">
        <f>VLOOKUP(B138,Sheet3!A:F,3,0)</f>
        <v>수학Ⅱ</v>
      </c>
      <c r="F138" s="7" t="str">
        <f>VLOOKUP(B138,Sheet3!A:F,4,0)</f>
        <v>3. 적분</v>
      </c>
      <c r="G138" s="7" t="str">
        <f>VLOOKUP(B138,Sheet3!A:F,5,0)</f>
        <v>K. 부정적분</v>
      </c>
      <c r="H138" s="7" t="str">
        <f>VLOOKUP(B138,Sheet3!A:F,6,0)</f>
        <v>부정적분</v>
      </c>
      <c r="I138" s="7" t="str">
        <f>"mun/"&amp;C138&amp;".png"</f>
        <v>mun/20230917.png</v>
      </c>
      <c r="J138" s="7">
        <v>16</v>
      </c>
      <c r="K138" s="7">
        <v>1</v>
      </c>
      <c r="L138" s="6" t="s">
        <v>384</v>
      </c>
    </row>
    <row r="139" spans="1:12" x14ac:dyDescent="0.3">
      <c r="A139" s="7">
        <f>VLOOKUP(B139,Sheet3!A:B,2,0)</f>
        <v>18</v>
      </c>
      <c r="B139" s="6" t="s">
        <v>511</v>
      </c>
      <c r="C139" s="7">
        <v>20230918</v>
      </c>
      <c r="D139" s="7">
        <v>3</v>
      </c>
      <c r="E139" s="7" t="str">
        <f>VLOOKUP(B139,Sheet3!A:F,3,0)</f>
        <v>수학Ⅰ</v>
      </c>
      <c r="F139" s="7" t="str">
        <f>VLOOKUP(B139,Sheet3!A:F,4,0)</f>
        <v>3. 수열</v>
      </c>
      <c r="G139" s="7" t="str">
        <f>VLOOKUP(B139,Sheet3!A:F,5,0)</f>
        <v>E. 수열의 합</v>
      </c>
      <c r="H139" s="7" t="str">
        <f>VLOOKUP(B139,Sheet3!A:F,6,0)</f>
        <v>시그마의 뜻과 성질</v>
      </c>
      <c r="I139" s="7" t="str">
        <f>"mun/"&amp;C139&amp;".png"</f>
        <v>mun/20230918.png</v>
      </c>
      <c r="J139" s="7">
        <v>13</v>
      </c>
      <c r="K139" s="7">
        <v>1</v>
      </c>
      <c r="L139" s="6" t="s">
        <v>385</v>
      </c>
    </row>
    <row r="140" spans="1:12" x14ac:dyDescent="0.3">
      <c r="A140" s="7">
        <f>VLOOKUP(B140,Sheet3!A:B,2,0)</f>
        <v>32</v>
      </c>
      <c r="B140" s="6" t="s">
        <v>523</v>
      </c>
      <c r="C140" s="7">
        <v>20230919</v>
      </c>
      <c r="D140" s="7">
        <v>3</v>
      </c>
      <c r="E140" s="7" t="str">
        <f>VLOOKUP(B140,Sheet3!A:F,3,0)</f>
        <v>수학Ⅱ</v>
      </c>
      <c r="F140" s="7" t="str">
        <f>VLOOKUP(B140,Sheet3!A:F,4,0)</f>
        <v>2. 미분</v>
      </c>
      <c r="G140" s="7" t="str">
        <f>VLOOKUP(B140,Sheet3!A:F,5,0)</f>
        <v>J. 도함수의 활용</v>
      </c>
      <c r="H140" s="7" t="str">
        <f>VLOOKUP(B140,Sheet3!A:F,6,0)</f>
        <v>방정식과 부등식에의 활용</v>
      </c>
      <c r="I140" s="7" t="str">
        <f>"mun/"&amp;C140&amp;".png"</f>
        <v>mun/20230919.png</v>
      </c>
      <c r="J140" s="7">
        <v>4</v>
      </c>
      <c r="K140" s="7">
        <v>1</v>
      </c>
      <c r="L140" s="6" t="s">
        <v>386</v>
      </c>
    </row>
    <row r="141" spans="1:12" x14ac:dyDescent="0.3">
      <c r="A141" s="7">
        <f>VLOOKUP(B141,Sheet3!A:B,2,0)</f>
        <v>40</v>
      </c>
      <c r="B141" s="6" t="s">
        <v>531</v>
      </c>
      <c r="C141" s="7">
        <v>20230920</v>
      </c>
      <c r="D141" s="7">
        <v>4</v>
      </c>
      <c r="E141" s="7" t="str">
        <f>VLOOKUP(B141,Sheet3!A:F,3,0)</f>
        <v>수학Ⅱ</v>
      </c>
      <c r="F141" s="7" t="str">
        <f>VLOOKUP(B141,Sheet3!A:F,4,0)</f>
        <v>3. 적분</v>
      </c>
      <c r="G141" s="7" t="str">
        <f>VLOOKUP(B141,Sheet3!A:F,5,0)</f>
        <v>L. 정적분</v>
      </c>
      <c r="H141" s="7" t="str">
        <f>VLOOKUP(B141,Sheet3!A:F,6,0)</f>
        <v>곡선 사이의 넓이</v>
      </c>
      <c r="I141" s="7" t="str">
        <f>"mun/"&amp;C141&amp;".png"</f>
        <v>mun/20230920.png</v>
      </c>
      <c r="J141" s="7">
        <v>80</v>
      </c>
      <c r="K141" s="7">
        <v>1</v>
      </c>
      <c r="L141" s="6" t="s">
        <v>387</v>
      </c>
    </row>
    <row r="142" spans="1:12" x14ac:dyDescent="0.3">
      <c r="A142" s="7">
        <f>VLOOKUP(B142,Sheet3!A:B,2,0)</f>
        <v>10</v>
      </c>
      <c r="B142" s="6" t="s">
        <v>503</v>
      </c>
      <c r="C142" s="7">
        <v>20230921</v>
      </c>
      <c r="D142" s="7">
        <v>4</v>
      </c>
      <c r="E142" s="7" t="str">
        <f>VLOOKUP(B142,Sheet3!A:F,3,0)</f>
        <v>수학Ⅰ</v>
      </c>
      <c r="F142" s="7" t="str">
        <f>VLOOKUP(B142,Sheet3!A:F,4,0)</f>
        <v>1. 지수함수와 로그함수</v>
      </c>
      <c r="G142" s="7" t="str">
        <f>VLOOKUP(B142,Sheet3!A:F,5,0)</f>
        <v>B. 지수함수와 로그함수</v>
      </c>
      <c r="H142" s="7" t="str">
        <f>VLOOKUP(B142,Sheet3!A:F,6,0)</f>
        <v>그래프에서 도형의 성질</v>
      </c>
      <c r="I142" s="7" t="str">
        <f>"mun/"&amp;C142&amp;".png"</f>
        <v>mun/20230921.png</v>
      </c>
      <c r="J142" s="7">
        <v>220</v>
      </c>
      <c r="K142" s="7">
        <v>1</v>
      </c>
      <c r="L142" s="6" t="s">
        <v>388</v>
      </c>
    </row>
    <row r="143" spans="1:12" x14ac:dyDescent="0.3">
      <c r="A143" s="7">
        <f>VLOOKUP(B143,Sheet3!A:B,2,0)</f>
        <v>35</v>
      </c>
      <c r="B143" s="6" t="s">
        <v>526</v>
      </c>
      <c r="C143" s="7">
        <v>20230922</v>
      </c>
      <c r="D143" s="7">
        <v>5</v>
      </c>
      <c r="E143" s="7" t="str">
        <f>VLOOKUP(B143,Sheet3!A:F,3,0)</f>
        <v>수학Ⅱ</v>
      </c>
      <c r="F143" s="7" t="str">
        <f>VLOOKUP(B143,Sheet3!A:F,4,0)</f>
        <v>2. 미분</v>
      </c>
      <c r="G143" s="7" t="str">
        <f>VLOOKUP(B143,Sheet3!A:F,5,0)</f>
        <v>J. 도함수의 활용</v>
      </c>
      <c r="H143" s="7" t="str">
        <f>VLOOKUP(B143,Sheet3!A:F,6,0)</f>
        <v>함수의 추론</v>
      </c>
      <c r="I143" s="7" t="str">
        <f>"mun/"&amp;C143&amp;".png"</f>
        <v>mun/20230922.png</v>
      </c>
      <c r="J143" s="7">
        <v>58</v>
      </c>
      <c r="K143" s="7">
        <v>1</v>
      </c>
      <c r="L143" s="6" t="s">
        <v>389</v>
      </c>
    </row>
    <row r="144" spans="1:12" x14ac:dyDescent="0.3">
      <c r="A144" s="7">
        <f>VLOOKUP(B144,Sheet3!A:B,2,0)</f>
        <v>47</v>
      </c>
      <c r="B144" s="6" t="s">
        <v>555</v>
      </c>
      <c r="C144" s="7">
        <v>20230923</v>
      </c>
      <c r="D144" s="7">
        <v>1</v>
      </c>
      <c r="E144" s="7" t="str">
        <f>VLOOKUP(B144,Sheet3!A:F,3,0)</f>
        <v>확률과 통계</v>
      </c>
      <c r="F144" s="7" t="str">
        <f>VLOOKUP(B144,Sheet3!A:F,4,0)</f>
        <v>1. 경우의 수</v>
      </c>
      <c r="G144" s="7" t="str">
        <f>VLOOKUP(B144,Sheet3!A:F,5,0)</f>
        <v>N. 이항정리와 이항계수</v>
      </c>
      <c r="H144" s="7" t="str">
        <f>VLOOKUP(B144,Sheet3!A:F,6,0)</f>
        <v>전개식의 계수</v>
      </c>
      <c r="I144" s="7" t="str">
        <f>"mun/"&amp;C144&amp;".png"</f>
        <v>mun/20230923.png</v>
      </c>
      <c r="J144" s="7">
        <v>1</v>
      </c>
      <c r="K144" s="7">
        <v>1</v>
      </c>
      <c r="L144" s="6" t="s">
        <v>589</v>
      </c>
    </row>
    <row r="145" spans="1:12" x14ac:dyDescent="0.3">
      <c r="A145" s="7">
        <f>VLOOKUP(B145,Sheet3!A:B,2,0)</f>
        <v>49</v>
      </c>
      <c r="B145" s="6" t="s">
        <v>669</v>
      </c>
      <c r="C145" s="7">
        <v>20250925</v>
      </c>
      <c r="D145" s="7">
        <v>2</v>
      </c>
      <c r="E145" s="7" t="str">
        <f>VLOOKUP(B145,Sheet3!A:F,3,0)</f>
        <v>확률과 통계</v>
      </c>
      <c r="F145" s="7" t="str">
        <f>VLOOKUP(B145,Sheet3!A:F,4,0)</f>
        <v>2. 확률</v>
      </c>
      <c r="G145" s="7" t="str">
        <f>VLOOKUP(B145,Sheet3!A:F,5,0)</f>
        <v>O. 수학적 확률</v>
      </c>
      <c r="H145" s="7" t="str">
        <f>VLOOKUP(B145,Sheet3!A:F,6,0)</f>
        <v>수학적 확률</v>
      </c>
      <c r="I145" s="7" t="str">
        <f>"mun/"&amp;C145&amp;".png"</f>
        <v>mun/20250925.png</v>
      </c>
      <c r="J145" s="7">
        <v>5</v>
      </c>
      <c r="K145" s="7">
        <v>1</v>
      </c>
      <c r="L145" s="6" t="s">
        <v>626</v>
      </c>
    </row>
    <row r="146" spans="1:12" x14ac:dyDescent="0.3">
      <c r="A146" s="7">
        <f>VLOOKUP(B146,Sheet3!A:B,2,0)</f>
        <v>49</v>
      </c>
      <c r="B146" s="6" t="s">
        <v>669</v>
      </c>
      <c r="C146" s="7">
        <v>20251126</v>
      </c>
      <c r="D146" s="7">
        <v>2</v>
      </c>
      <c r="E146" s="7" t="str">
        <f>VLOOKUP(B146,Sheet3!A:F,3,0)</f>
        <v>확률과 통계</v>
      </c>
      <c r="F146" s="7" t="str">
        <f>VLOOKUP(B146,Sheet3!A:F,4,0)</f>
        <v>2. 확률</v>
      </c>
      <c r="G146" s="7" t="str">
        <f>VLOOKUP(B146,Sheet3!A:F,5,0)</f>
        <v>O. 수학적 확률</v>
      </c>
      <c r="H146" s="7" t="str">
        <f>VLOOKUP(B146,Sheet3!A:F,6,0)</f>
        <v>수학적 확률</v>
      </c>
      <c r="I146" s="7" t="str">
        <f>"mun/"&amp;C146&amp;".png"</f>
        <v>mun/20251126.png</v>
      </c>
      <c r="J146" s="7">
        <v>3</v>
      </c>
      <c r="K146" s="7">
        <v>1</v>
      </c>
      <c r="L146" s="6" t="s">
        <v>631</v>
      </c>
    </row>
    <row r="147" spans="1:12" x14ac:dyDescent="0.3">
      <c r="A147" s="7">
        <f>VLOOKUP(B147,Sheet3!A:B,2,0)</f>
        <v>43</v>
      </c>
      <c r="B147" s="6" t="s">
        <v>493</v>
      </c>
      <c r="C147" s="7">
        <v>20230926</v>
      </c>
      <c r="D147" s="7">
        <v>2</v>
      </c>
      <c r="E147" s="7" t="str">
        <f>VLOOKUP(B147,Sheet3!A:F,3,0)</f>
        <v>확률과 통계</v>
      </c>
      <c r="F147" s="7" t="str">
        <f>VLOOKUP(B147,Sheet3!A:F,4,0)</f>
        <v>1. 경우의 수</v>
      </c>
      <c r="G147" s="7" t="str">
        <f>VLOOKUP(B147,Sheet3!A:F,5,0)</f>
        <v>M. 여러 가지 순열과 중복 조합</v>
      </c>
      <c r="H147" s="7" t="str">
        <f>VLOOKUP(B147,Sheet3!A:F,6,0)</f>
        <v>원순열</v>
      </c>
      <c r="I147" s="7" t="str">
        <f>"mun/"&amp;C147&amp;".png"</f>
        <v>mun/20230926.png</v>
      </c>
      <c r="J147" s="7">
        <v>2</v>
      </c>
      <c r="K147" s="7">
        <v>1</v>
      </c>
      <c r="L147" s="6" t="s">
        <v>592</v>
      </c>
    </row>
    <row r="148" spans="1:12" x14ac:dyDescent="0.3">
      <c r="A148" s="7">
        <f>VLOOKUP(B148,Sheet3!A:B,2,0)</f>
        <v>49</v>
      </c>
      <c r="B148" s="6" t="s">
        <v>669</v>
      </c>
      <c r="C148" s="7">
        <v>20251130</v>
      </c>
      <c r="D148" s="7">
        <v>5</v>
      </c>
      <c r="E148" s="7" t="str">
        <f>VLOOKUP(B148,Sheet3!A:F,3,0)</f>
        <v>확률과 통계</v>
      </c>
      <c r="F148" s="7" t="str">
        <f>VLOOKUP(B148,Sheet3!A:F,4,0)</f>
        <v>2. 확률</v>
      </c>
      <c r="G148" s="7" t="str">
        <f>VLOOKUP(B148,Sheet3!A:F,5,0)</f>
        <v>O. 수학적 확률</v>
      </c>
      <c r="H148" s="7" t="str">
        <f>VLOOKUP(B148,Sheet3!A:F,6,0)</f>
        <v>수학적 확률</v>
      </c>
      <c r="I148" s="7" t="str">
        <f>"mun/"&amp;C148&amp;".png"</f>
        <v>mun/20251130.png</v>
      </c>
      <c r="J148" s="7">
        <v>19</v>
      </c>
      <c r="K148" s="7">
        <v>1</v>
      </c>
      <c r="L148" s="8" t="s">
        <v>666</v>
      </c>
    </row>
    <row r="149" spans="1:12" x14ac:dyDescent="0.3">
      <c r="A149" s="7">
        <f>VLOOKUP(B149,Sheet3!A:B,2,0)</f>
        <v>51</v>
      </c>
      <c r="B149" s="6" t="s">
        <v>670</v>
      </c>
      <c r="C149" s="7">
        <v>20221130</v>
      </c>
      <c r="D149" s="7">
        <v>5</v>
      </c>
      <c r="E149" s="7" t="str">
        <f>VLOOKUP(B149,Sheet3!A:F,3,0)</f>
        <v>확률과 통계</v>
      </c>
      <c r="F149" s="7" t="str">
        <f>VLOOKUP(B149,Sheet3!A:F,4,0)</f>
        <v>2. 확률</v>
      </c>
      <c r="G149" s="7" t="str">
        <f>VLOOKUP(B149,Sheet3!A:F,5,0)</f>
        <v>P. 조건부 확률</v>
      </c>
      <c r="H149" s="7" t="str">
        <f>VLOOKUP(B149,Sheet3!A:F,6,0)</f>
        <v>독립과 종속</v>
      </c>
      <c r="I149" s="7" t="str">
        <f>"mun/"&amp;C149&amp;".png"</f>
        <v>mun/20221130.png</v>
      </c>
      <c r="J149" s="7">
        <v>191</v>
      </c>
      <c r="K149" s="7">
        <v>1</v>
      </c>
      <c r="L149" s="6" t="s">
        <v>582</v>
      </c>
    </row>
    <row r="150" spans="1:12" x14ac:dyDescent="0.3">
      <c r="A150" s="7">
        <f>VLOOKUP(B150,Sheet3!A:B,2,0)</f>
        <v>51</v>
      </c>
      <c r="B150" s="6" t="s">
        <v>670</v>
      </c>
      <c r="C150" s="7">
        <v>20230625</v>
      </c>
      <c r="D150" s="7">
        <v>2</v>
      </c>
      <c r="E150" s="7" t="str">
        <f>VLOOKUP(B150,Sheet3!A:F,3,0)</f>
        <v>확률과 통계</v>
      </c>
      <c r="F150" s="7" t="str">
        <f>VLOOKUP(B150,Sheet3!A:F,4,0)</f>
        <v>2. 확률</v>
      </c>
      <c r="G150" s="7" t="str">
        <f>VLOOKUP(B150,Sheet3!A:F,5,0)</f>
        <v>P. 조건부 확률</v>
      </c>
      <c r="H150" s="7" t="str">
        <f>VLOOKUP(B150,Sheet3!A:F,6,0)</f>
        <v>독립과 종속</v>
      </c>
      <c r="I150" s="7" t="str">
        <f>"mun/"&amp;C150&amp;".png"</f>
        <v>mun/20230625.png</v>
      </c>
      <c r="J150" s="7">
        <v>4</v>
      </c>
      <c r="K150" s="7">
        <v>1</v>
      </c>
      <c r="L150" s="6" t="s">
        <v>585</v>
      </c>
    </row>
    <row r="151" spans="1:12" x14ac:dyDescent="0.3">
      <c r="A151" s="7">
        <f>VLOOKUP(B151,Sheet3!A:B,2,0)</f>
        <v>44</v>
      </c>
      <c r="B151" s="6" t="s">
        <v>574</v>
      </c>
      <c r="C151" s="7">
        <v>20230930</v>
      </c>
      <c r="D151" s="7">
        <v>5</v>
      </c>
      <c r="E151" s="7" t="str">
        <f>VLOOKUP(B151,Sheet3!A:F,3,0)</f>
        <v>확률과 통계</v>
      </c>
      <c r="F151" s="7" t="str">
        <f>VLOOKUP(B151,Sheet3!A:F,4,0)</f>
        <v>1. 경우의 수</v>
      </c>
      <c r="G151" s="7" t="str">
        <f>VLOOKUP(B151,Sheet3!A:F,5,0)</f>
        <v>M. 여러 가지 순열과 중복 조합</v>
      </c>
      <c r="H151" s="7" t="str">
        <f>VLOOKUP(B151,Sheet3!A:F,6,0)</f>
        <v>중복 순열</v>
      </c>
      <c r="I151" s="7" t="str">
        <f>"mun/"&amp;C151&amp;".png"</f>
        <v>mun/20230930.png</v>
      </c>
      <c r="J151" s="7">
        <v>260</v>
      </c>
      <c r="K151" s="7">
        <v>1</v>
      </c>
      <c r="L151" s="8" t="s">
        <v>651</v>
      </c>
    </row>
    <row r="152" spans="1:12" x14ac:dyDescent="0.3">
      <c r="A152" s="7">
        <f>VLOOKUP(B152,Sheet3!A:B,2,0)</f>
        <v>2</v>
      </c>
      <c r="B152" s="6" t="s">
        <v>495</v>
      </c>
      <c r="C152" s="7">
        <v>20231101</v>
      </c>
      <c r="D152" s="7">
        <v>1</v>
      </c>
      <c r="E152" s="7" t="str">
        <f>VLOOKUP(B152,Sheet3!A:F,3,0)</f>
        <v>수학Ⅰ</v>
      </c>
      <c r="F152" s="7" t="str">
        <f>VLOOKUP(B152,Sheet3!A:F,4,0)</f>
        <v>1. 지수함수와 로그함수</v>
      </c>
      <c r="G152" s="7" t="str">
        <f>VLOOKUP(B152,Sheet3!A:F,5,0)</f>
        <v>A. 지수와 로그</v>
      </c>
      <c r="H152" s="7" t="str">
        <f>VLOOKUP(B152,Sheet3!A:F,6,0)</f>
        <v>지수의 연산</v>
      </c>
      <c r="I152" s="7" t="str">
        <f>"mun/"&amp;C152&amp;".png"</f>
        <v>mun/20231101.png</v>
      </c>
      <c r="J152" s="7">
        <v>5</v>
      </c>
      <c r="K152" s="7">
        <v>1</v>
      </c>
      <c r="L152" s="6" t="s">
        <v>347</v>
      </c>
    </row>
    <row r="153" spans="1:12" x14ac:dyDescent="0.3">
      <c r="A153" s="7">
        <f>VLOOKUP(B153,Sheet3!A:B,2,0)</f>
        <v>23</v>
      </c>
      <c r="B153" s="6" t="s">
        <v>515</v>
      </c>
      <c r="C153" s="7">
        <v>20231102</v>
      </c>
      <c r="D153" s="7">
        <v>1</v>
      </c>
      <c r="E153" s="7" t="str">
        <f>VLOOKUP(B153,Sheet3!A:F,3,0)</f>
        <v>수학Ⅱ</v>
      </c>
      <c r="F153" s="7" t="str">
        <f>VLOOKUP(B153,Sheet3!A:F,4,0)</f>
        <v>1. 함수의 극한과 연속</v>
      </c>
      <c r="G153" s="7" t="str">
        <f>VLOOKUP(B153,Sheet3!A:F,5,0)</f>
        <v>G. 함수의 극한</v>
      </c>
      <c r="H153" s="7" t="str">
        <f>VLOOKUP(B153,Sheet3!A:F,6,0)</f>
        <v>함수의 극한</v>
      </c>
      <c r="I153" s="7" t="str">
        <f>"mun/"&amp;C153&amp;".png"</f>
        <v>mun/20231102.png</v>
      </c>
      <c r="J153" s="7">
        <v>4</v>
      </c>
      <c r="K153" s="7">
        <v>1</v>
      </c>
      <c r="L153" s="6" t="s">
        <v>348</v>
      </c>
    </row>
    <row r="154" spans="1:12" x14ac:dyDescent="0.3">
      <c r="A154" s="7">
        <f>VLOOKUP(B154,Sheet3!A:B,2,0)</f>
        <v>17</v>
      </c>
      <c r="B154" s="6" t="s">
        <v>510</v>
      </c>
      <c r="C154" s="7">
        <v>20231103</v>
      </c>
      <c r="D154" s="7">
        <v>1</v>
      </c>
      <c r="E154" s="7" t="str">
        <f>VLOOKUP(B154,Sheet3!A:F,3,0)</f>
        <v>수학Ⅰ</v>
      </c>
      <c r="F154" s="7" t="str">
        <f>VLOOKUP(B154,Sheet3!A:F,4,0)</f>
        <v>3. 수열</v>
      </c>
      <c r="G154" s="7" t="str">
        <f>VLOOKUP(B154,Sheet3!A:F,5,0)</f>
        <v>D. 등차수열과 등비수열</v>
      </c>
      <c r="H154" s="7" t="str">
        <f>VLOOKUP(B154,Sheet3!A:F,6,0)</f>
        <v>등비수열</v>
      </c>
      <c r="I154" s="7" t="str">
        <f>"mun/"&amp;C154&amp;".png"</f>
        <v>mun/20231103.png</v>
      </c>
      <c r="J154" s="7">
        <v>1</v>
      </c>
      <c r="K154" s="7">
        <v>1</v>
      </c>
      <c r="L154" s="6" t="s">
        <v>349</v>
      </c>
    </row>
    <row r="155" spans="1:12" x14ac:dyDescent="0.3">
      <c r="A155" s="7">
        <f>VLOOKUP(B155,Sheet3!A:B,2,0)</f>
        <v>29</v>
      </c>
      <c r="B155" s="6" t="s">
        <v>520</v>
      </c>
      <c r="C155" s="7">
        <v>20231104</v>
      </c>
      <c r="D155" s="7">
        <v>2</v>
      </c>
      <c r="E155" s="7" t="str">
        <f>VLOOKUP(B155,Sheet3!A:F,3,0)</f>
        <v>수학Ⅱ</v>
      </c>
      <c r="F155" s="7" t="str">
        <f>VLOOKUP(B155,Sheet3!A:F,4,0)</f>
        <v>2. 미분</v>
      </c>
      <c r="G155" s="7" t="str">
        <f>VLOOKUP(B155,Sheet3!A:F,5,0)</f>
        <v>I. 도함수</v>
      </c>
      <c r="H155" s="7" t="str">
        <f>VLOOKUP(B155,Sheet3!A:F,6,0)</f>
        <v>곱함수의 미분법</v>
      </c>
      <c r="I155" s="7" t="str">
        <f>"mun/"&amp;C155&amp;".png"</f>
        <v>mun/20231104.png</v>
      </c>
      <c r="J155" s="7">
        <v>3</v>
      </c>
      <c r="K155" s="7">
        <v>1</v>
      </c>
      <c r="L155" s="6" t="s">
        <v>350</v>
      </c>
    </row>
    <row r="156" spans="1:12" x14ac:dyDescent="0.3">
      <c r="A156" s="7">
        <f>VLOOKUP(B156,Sheet3!A:B,2,0)</f>
        <v>12</v>
      </c>
      <c r="B156" s="6" t="s">
        <v>505</v>
      </c>
      <c r="C156" s="7">
        <v>20231105</v>
      </c>
      <c r="D156" s="7">
        <v>2</v>
      </c>
      <c r="E156" s="7" t="str">
        <f>VLOOKUP(B156,Sheet3!A:F,3,0)</f>
        <v>수학Ⅰ</v>
      </c>
      <c r="F156" s="7" t="str">
        <f>VLOOKUP(B156,Sheet3!A:F,4,0)</f>
        <v>2. 삼각함수</v>
      </c>
      <c r="G156" s="7" t="str">
        <f>VLOOKUP(B156,Sheet3!A:F,5,0)</f>
        <v>C. 삼각함수</v>
      </c>
      <c r="H156" s="7" t="str">
        <f>VLOOKUP(B156,Sheet3!A:F,6,0)</f>
        <v>삼각함수의 값</v>
      </c>
      <c r="I156" s="7" t="str">
        <f>"mun/"&amp;C156&amp;".png"</f>
        <v>mun/20231105.png</v>
      </c>
      <c r="J156" s="7">
        <v>5</v>
      </c>
      <c r="K156" s="7">
        <v>1</v>
      </c>
      <c r="L156" s="6" t="s">
        <v>351</v>
      </c>
    </row>
    <row r="157" spans="1:12" x14ac:dyDescent="0.3">
      <c r="A157" s="7">
        <f>VLOOKUP(B157,Sheet3!A:B,2,0)</f>
        <v>33</v>
      </c>
      <c r="B157" s="6" t="s">
        <v>524</v>
      </c>
      <c r="C157" s="7">
        <v>20231106</v>
      </c>
      <c r="D157" s="7">
        <v>2</v>
      </c>
      <c r="E157" s="7" t="str">
        <f>VLOOKUP(B157,Sheet3!A:F,3,0)</f>
        <v>수학Ⅱ</v>
      </c>
      <c r="F157" s="7" t="str">
        <f>VLOOKUP(B157,Sheet3!A:F,4,0)</f>
        <v>2. 미분</v>
      </c>
      <c r="G157" s="7" t="str">
        <f>VLOOKUP(B157,Sheet3!A:F,5,0)</f>
        <v>J. 도함수의 활용</v>
      </c>
      <c r="H157" s="7" t="str">
        <f>VLOOKUP(B157,Sheet3!A:F,6,0)</f>
        <v>극대와 극소</v>
      </c>
      <c r="I157" s="7" t="str">
        <f>"mun/"&amp;C157&amp;".png"</f>
        <v>mun/20231106.png</v>
      </c>
      <c r="J157" s="7">
        <v>2</v>
      </c>
      <c r="K157" s="7">
        <v>1</v>
      </c>
      <c r="L157" s="6" t="s">
        <v>352</v>
      </c>
    </row>
    <row r="158" spans="1:12" x14ac:dyDescent="0.3">
      <c r="A158" s="7">
        <f>VLOOKUP(B158,Sheet3!A:B,2,0)</f>
        <v>20</v>
      </c>
      <c r="B158" s="6" t="s">
        <v>513</v>
      </c>
      <c r="C158" s="7">
        <v>20231107</v>
      </c>
      <c r="D158" s="7">
        <v>2</v>
      </c>
      <c r="E158" s="7" t="str">
        <f>VLOOKUP(B158,Sheet3!A:F,3,0)</f>
        <v>수학Ⅰ</v>
      </c>
      <c r="F158" s="7" t="str">
        <f>VLOOKUP(B158,Sheet3!A:F,4,0)</f>
        <v>3. 수열</v>
      </c>
      <c r="G158" s="7" t="str">
        <f>VLOOKUP(B158,Sheet3!A:F,5,0)</f>
        <v>E. 수열의 합</v>
      </c>
      <c r="H158" s="7" t="str">
        <f>VLOOKUP(B158,Sheet3!A:F,6,0)</f>
        <v>여러 가지 수열의 합</v>
      </c>
      <c r="I158" s="7" t="str">
        <f>"mun/"&amp;C158&amp;".png"</f>
        <v>mun/20231107.png</v>
      </c>
      <c r="J158" s="7">
        <v>4</v>
      </c>
      <c r="K158" s="7">
        <v>1</v>
      </c>
      <c r="L158" s="6" t="s">
        <v>353</v>
      </c>
    </row>
    <row r="159" spans="1:12" x14ac:dyDescent="0.3">
      <c r="A159" s="7">
        <f>VLOOKUP(B159,Sheet3!A:B,2,0)</f>
        <v>31</v>
      </c>
      <c r="B159" s="6" t="s">
        <v>522</v>
      </c>
      <c r="C159" s="7">
        <v>20231108</v>
      </c>
      <c r="D159" s="7">
        <v>2</v>
      </c>
      <c r="E159" s="7" t="str">
        <f>VLOOKUP(B159,Sheet3!A:F,3,0)</f>
        <v>수학Ⅱ</v>
      </c>
      <c r="F159" s="7" t="str">
        <f>VLOOKUP(B159,Sheet3!A:F,4,0)</f>
        <v>2. 미분</v>
      </c>
      <c r="G159" s="7" t="str">
        <f>VLOOKUP(B159,Sheet3!A:F,5,0)</f>
        <v>J. 도함수의 활용</v>
      </c>
      <c r="H159" s="7" t="str">
        <f>VLOOKUP(B159,Sheet3!A:F,6,0)</f>
        <v>접선의 방정식</v>
      </c>
      <c r="I159" s="7" t="str">
        <f>"mun/"&amp;C159&amp;".png"</f>
        <v>mun/20231108.png</v>
      </c>
      <c r="J159" s="7">
        <v>4</v>
      </c>
      <c r="K159" s="7">
        <v>1</v>
      </c>
      <c r="L159" s="6" t="s">
        <v>354</v>
      </c>
    </row>
    <row r="160" spans="1:12" x14ac:dyDescent="0.3">
      <c r="A160" s="7">
        <f>VLOOKUP(B160,Sheet3!A:B,2,0)</f>
        <v>14</v>
      </c>
      <c r="B160" s="6" t="s">
        <v>507</v>
      </c>
      <c r="C160" s="7">
        <v>20231109</v>
      </c>
      <c r="D160" s="7">
        <v>3</v>
      </c>
      <c r="E160" s="7" t="str">
        <f>VLOOKUP(B160,Sheet3!A:F,3,0)</f>
        <v>수학Ⅰ</v>
      </c>
      <c r="F160" s="7" t="str">
        <f>VLOOKUP(B160,Sheet3!A:F,4,0)</f>
        <v>2. 삼각함수</v>
      </c>
      <c r="G160" s="7" t="str">
        <f>VLOOKUP(B160,Sheet3!A:F,5,0)</f>
        <v>C. 삼각함수</v>
      </c>
      <c r="H160" s="7" t="str">
        <f>VLOOKUP(B160,Sheet3!A:F,6,0)</f>
        <v>함수의 최대 또는 최소</v>
      </c>
      <c r="I160" s="7" t="str">
        <f>"mun/"&amp;C160&amp;".png"</f>
        <v>mun/20231109.png</v>
      </c>
      <c r="J160" s="7">
        <v>3</v>
      </c>
      <c r="K160" s="7">
        <v>1</v>
      </c>
      <c r="L160" s="6" t="s">
        <v>355</v>
      </c>
    </row>
    <row r="161" spans="1:12" x14ac:dyDescent="0.3">
      <c r="A161" s="7">
        <f>VLOOKUP(B161,Sheet3!A:B,2,0)</f>
        <v>40</v>
      </c>
      <c r="B161" s="6" t="s">
        <v>531</v>
      </c>
      <c r="C161" s="7">
        <v>20231110</v>
      </c>
      <c r="D161" s="7">
        <v>3</v>
      </c>
      <c r="E161" s="7" t="str">
        <f>VLOOKUP(B161,Sheet3!A:F,3,0)</f>
        <v>수학Ⅱ</v>
      </c>
      <c r="F161" s="7" t="str">
        <f>VLOOKUP(B161,Sheet3!A:F,4,0)</f>
        <v>3. 적분</v>
      </c>
      <c r="G161" s="7" t="str">
        <f>VLOOKUP(B161,Sheet3!A:F,5,0)</f>
        <v>L. 정적분</v>
      </c>
      <c r="H161" s="7" t="str">
        <f>VLOOKUP(B161,Sheet3!A:F,6,0)</f>
        <v>곡선 사이의 넓이</v>
      </c>
      <c r="I161" s="7" t="str">
        <f>"mun/"&amp;C161&amp;".png"</f>
        <v>mun/20231110.png</v>
      </c>
      <c r="J161" s="7">
        <v>4</v>
      </c>
      <c r="K161" s="7">
        <v>1</v>
      </c>
      <c r="L161" s="6" t="s">
        <v>356</v>
      </c>
    </row>
    <row r="162" spans="1:12" x14ac:dyDescent="0.3">
      <c r="A162" s="7">
        <f>VLOOKUP(B162,Sheet3!A:B,2,0)</f>
        <v>15</v>
      </c>
      <c r="B162" s="6" t="s">
        <v>508</v>
      </c>
      <c r="C162" s="7">
        <v>20231111</v>
      </c>
      <c r="D162" s="7">
        <v>3</v>
      </c>
      <c r="E162" s="7" t="str">
        <f>VLOOKUP(B162,Sheet3!A:F,3,0)</f>
        <v>수학Ⅰ</v>
      </c>
      <c r="F162" s="7" t="str">
        <f>VLOOKUP(B162,Sheet3!A:F,4,0)</f>
        <v>2. 삼각함수</v>
      </c>
      <c r="G162" s="7" t="str">
        <f>VLOOKUP(B162,Sheet3!A:F,5,0)</f>
        <v>C. 삼각함수</v>
      </c>
      <c r="H162" s="7" t="str">
        <f>VLOOKUP(B162,Sheet3!A:F,6,0)</f>
        <v>사인법칙과 코사인법칙</v>
      </c>
      <c r="I162" s="7" t="str">
        <f>"mun/"&amp;C162&amp;".png"</f>
        <v>mun/20231111.png</v>
      </c>
      <c r="J162" s="7">
        <v>1</v>
      </c>
      <c r="K162" s="7">
        <v>1</v>
      </c>
      <c r="L162" s="6" t="s">
        <v>357</v>
      </c>
    </row>
    <row r="163" spans="1:12" x14ac:dyDescent="0.3">
      <c r="A163" s="7">
        <f>VLOOKUP(B163,Sheet3!A:B,2,0)</f>
        <v>39</v>
      </c>
      <c r="B163" s="6" t="s">
        <v>530</v>
      </c>
      <c r="C163" s="7">
        <v>20231112</v>
      </c>
      <c r="D163" s="7">
        <v>4</v>
      </c>
      <c r="E163" s="7" t="str">
        <f>VLOOKUP(B163,Sheet3!A:F,3,0)</f>
        <v>수학Ⅱ</v>
      </c>
      <c r="F163" s="7" t="str">
        <f>VLOOKUP(B163,Sheet3!A:F,4,0)</f>
        <v>3. 적분</v>
      </c>
      <c r="G163" s="7" t="str">
        <f>VLOOKUP(B163,Sheet3!A:F,5,0)</f>
        <v>L. 정적분</v>
      </c>
      <c r="H163" s="7" t="str">
        <f>VLOOKUP(B163,Sheet3!A:F,6,0)</f>
        <v>미적분학의 기본 정리</v>
      </c>
      <c r="I163" s="7" t="str">
        <f>"mun/"&amp;C163&amp;".png"</f>
        <v>mun/20231112.png</v>
      </c>
      <c r="J163" s="7">
        <v>2</v>
      </c>
      <c r="K163" s="7">
        <v>1</v>
      </c>
      <c r="L163" s="6" t="s">
        <v>358</v>
      </c>
    </row>
    <row r="164" spans="1:12" x14ac:dyDescent="0.3">
      <c r="A164" s="7">
        <f>VLOOKUP(B164,Sheet3!A:B,2,0)</f>
        <v>8</v>
      </c>
      <c r="B164" s="6" t="s">
        <v>501</v>
      </c>
      <c r="C164" s="7">
        <v>20231113</v>
      </c>
      <c r="D164" s="7">
        <v>4</v>
      </c>
      <c r="E164" s="7" t="str">
        <f>VLOOKUP(B164,Sheet3!A:F,3,0)</f>
        <v>수학Ⅰ</v>
      </c>
      <c r="F164" s="7" t="str">
        <f>VLOOKUP(B164,Sheet3!A:F,4,0)</f>
        <v>1. 지수함수와 로그함수</v>
      </c>
      <c r="G164" s="7" t="str">
        <f>VLOOKUP(B164,Sheet3!A:F,5,0)</f>
        <v>B. 지수함수와 로그함수</v>
      </c>
      <c r="H164" s="7" t="str">
        <f>VLOOKUP(B164,Sheet3!A:F,6,0)</f>
        <v>지수, 로그가 정수가 되기 위한 조건</v>
      </c>
      <c r="I164" s="7" t="str">
        <f>"mun/"&amp;C164&amp;".png"</f>
        <v>mun/20231113.png</v>
      </c>
      <c r="J164" s="7">
        <v>3</v>
      </c>
      <c r="K164" s="7">
        <v>1</v>
      </c>
      <c r="L164" s="6" t="s">
        <v>359</v>
      </c>
    </row>
    <row r="165" spans="1:12" x14ac:dyDescent="0.3">
      <c r="A165" s="7">
        <f>VLOOKUP(B165,Sheet3!A:B,2,0)</f>
        <v>27</v>
      </c>
      <c r="B165" s="6" t="s">
        <v>518</v>
      </c>
      <c r="C165" s="7">
        <v>20231114</v>
      </c>
      <c r="D165" s="7">
        <v>4</v>
      </c>
      <c r="E165" s="7" t="str">
        <f>VLOOKUP(B165,Sheet3!A:F,3,0)</f>
        <v>수학Ⅱ</v>
      </c>
      <c r="F165" s="7" t="str">
        <f>VLOOKUP(B165,Sheet3!A:F,4,0)</f>
        <v>1. 함수의 극한과 연속</v>
      </c>
      <c r="G165" s="7" t="str">
        <f>VLOOKUP(B165,Sheet3!A:F,5,0)</f>
        <v>H. 함수의 연속</v>
      </c>
      <c r="H165" s="7" t="str">
        <f>VLOOKUP(B165,Sheet3!A:F,6,0)</f>
        <v>조건을 만족하는 함수의 추론</v>
      </c>
      <c r="I165" s="7" t="str">
        <f>"mun/"&amp;C165&amp;".png"</f>
        <v>mun/20231114.png</v>
      </c>
      <c r="J165" s="7">
        <v>1</v>
      </c>
      <c r="K165" s="7">
        <v>1</v>
      </c>
      <c r="L165" s="8" t="s">
        <v>480</v>
      </c>
    </row>
    <row r="166" spans="1:12" x14ac:dyDescent="0.3">
      <c r="A166" s="7">
        <f>VLOOKUP(B166,Sheet3!A:B,2,0)</f>
        <v>21</v>
      </c>
      <c r="B166" s="6" t="s">
        <v>514</v>
      </c>
      <c r="C166" s="7">
        <v>20231115</v>
      </c>
      <c r="D166" s="7">
        <v>5</v>
      </c>
      <c r="E166" s="7" t="str">
        <f>VLOOKUP(B166,Sheet3!A:F,3,0)</f>
        <v>수학Ⅰ</v>
      </c>
      <c r="F166" s="7" t="str">
        <f>VLOOKUP(B166,Sheet3!A:F,4,0)</f>
        <v>3. 수열</v>
      </c>
      <c r="G166" s="7" t="str">
        <f>VLOOKUP(B166,Sheet3!A:F,5,0)</f>
        <v>F. 수학적 귀납법</v>
      </c>
      <c r="H166" s="7" t="str">
        <f>VLOOKUP(B166,Sheet3!A:F,6,0)</f>
        <v>수열의 귀납적 정의</v>
      </c>
      <c r="I166" s="7" t="str">
        <f>"mun/"&amp;C166&amp;".png"</f>
        <v>mun/20231115.png</v>
      </c>
      <c r="J166" s="7">
        <v>5</v>
      </c>
      <c r="K166" s="7">
        <v>1</v>
      </c>
      <c r="L166" s="6" t="s">
        <v>360</v>
      </c>
    </row>
    <row r="167" spans="1:12" x14ac:dyDescent="0.3">
      <c r="A167" s="7">
        <f>VLOOKUP(B167,Sheet3!A:B,2,0)</f>
        <v>6</v>
      </c>
      <c r="B167" s="6" t="s">
        <v>499</v>
      </c>
      <c r="C167" s="7">
        <v>20231116</v>
      </c>
      <c r="D167" s="7">
        <v>1</v>
      </c>
      <c r="E167" s="7" t="str">
        <f>VLOOKUP(B167,Sheet3!A:F,3,0)</f>
        <v>수학Ⅰ</v>
      </c>
      <c r="F167" s="7" t="str">
        <f>VLOOKUP(B167,Sheet3!A:F,4,0)</f>
        <v>1. 지수함수와 로그함수</v>
      </c>
      <c r="G167" s="7" t="str">
        <f>VLOOKUP(B167,Sheet3!A:F,5,0)</f>
        <v>B. 지수함수와 로그함수</v>
      </c>
      <c r="H167" s="7" t="str">
        <f>VLOOKUP(B167,Sheet3!A:F,6,0)</f>
        <v>방정식과 부등식에의 활용</v>
      </c>
      <c r="I167" s="7" t="str">
        <f>"mun/"&amp;C167&amp;".png"</f>
        <v>mun/20231116.png</v>
      </c>
      <c r="J167" s="7">
        <v>10</v>
      </c>
      <c r="K167" s="7">
        <v>1</v>
      </c>
      <c r="L167" s="6" t="s">
        <v>361</v>
      </c>
    </row>
    <row r="168" spans="1:12" x14ac:dyDescent="0.3">
      <c r="A168" s="7">
        <f>VLOOKUP(B168,Sheet3!A:B,2,0)</f>
        <v>37</v>
      </c>
      <c r="B168" s="6" t="s">
        <v>528</v>
      </c>
      <c r="C168" s="7">
        <v>20231117</v>
      </c>
      <c r="D168" s="7">
        <v>1</v>
      </c>
      <c r="E168" s="7" t="str">
        <f>VLOOKUP(B168,Sheet3!A:F,3,0)</f>
        <v>수학Ⅱ</v>
      </c>
      <c r="F168" s="7" t="str">
        <f>VLOOKUP(B168,Sheet3!A:F,4,0)</f>
        <v>3. 적분</v>
      </c>
      <c r="G168" s="7" t="str">
        <f>VLOOKUP(B168,Sheet3!A:F,5,0)</f>
        <v>K. 부정적분</v>
      </c>
      <c r="H168" s="7" t="str">
        <f>VLOOKUP(B168,Sheet3!A:F,6,0)</f>
        <v>부정적분</v>
      </c>
      <c r="I168" s="7" t="str">
        <f>"mun/"&amp;C168&amp;".png"</f>
        <v>mun/20231117.png</v>
      </c>
      <c r="J168" s="7">
        <v>15</v>
      </c>
      <c r="K168" s="7">
        <v>1</v>
      </c>
      <c r="L168" s="6" t="s">
        <v>362</v>
      </c>
    </row>
    <row r="169" spans="1:12" x14ac:dyDescent="0.3">
      <c r="A169" s="7">
        <f>VLOOKUP(B169,Sheet3!A:B,2,0)</f>
        <v>18</v>
      </c>
      <c r="B169" s="6" t="s">
        <v>511</v>
      </c>
      <c r="C169" s="7">
        <v>20231118</v>
      </c>
      <c r="D169" s="7">
        <v>3</v>
      </c>
      <c r="E169" s="7" t="str">
        <f>VLOOKUP(B169,Sheet3!A:F,3,0)</f>
        <v>수학Ⅰ</v>
      </c>
      <c r="F169" s="7" t="str">
        <f>VLOOKUP(B169,Sheet3!A:F,4,0)</f>
        <v>3. 수열</v>
      </c>
      <c r="G169" s="7" t="str">
        <f>VLOOKUP(B169,Sheet3!A:F,5,0)</f>
        <v>E. 수열의 합</v>
      </c>
      <c r="H169" s="7" t="str">
        <f>VLOOKUP(B169,Sheet3!A:F,6,0)</f>
        <v>시그마의 뜻과 성질</v>
      </c>
      <c r="I169" s="7" t="str">
        <f>"mun/"&amp;C169&amp;".png"</f>
        <v>mun/20231118.png</v>
      </c>
      <c r="J169" s="7">
        <v>22</v>
      </c>
      <c r="K169" s="7">
        <v>1</v>
      </c>
      <c r="L169" s="6" t="s">
        <v>363</v>
      </c>
    </row>
    <row r="170" spans="1:12" x14ac:dyDescent="0.3">
      <c r="A170" s="7">
        <f>VLOOKUP(B170,Sheet3!A:B,2,0)</f>
        <v>32</v>
      </c>
      <c r="B170" s="6" t="s">
        <v>523</v>
      </c>
      <c r="C170" s="7">
        <v>20231119</v>
      </c>
      <c r="D170" s="7">
        <v>3</v>
      </c>
      <c r="E170" s="7" t="str">
        <f>VLOOKUP(B170,Sheet3!A:F,3,0)</f>
        <v>수학Ⅱ</v>
      </c>
      <c r="F170" s="7" t="str">
        <f>VLOOKUP(B170,Sheet3!A:F,4,0)</f>
        <v>2. 미분</v>
      </c>
      <c r="G170" s="7" t="str">
        <f>VLOOKUP(B170,Sheet3!A:F,5,0)</f>
        <v>J. 도함수의 활용</v>
      </c>
      <c r="H170" s="7" t="str">
        <f>VLOOKUP(B170,Sheet3!A:F,6,0)</f>
        <v>방정식과 부등식에의 활용</v>
      </c>
      <c r="I170" s="7" t="str">
        <f>"mun/"&amp;C170&amp;".png"</f>
        <v>mun/20231119.png</v>
      </c>
      <c r="J170" s="7">
        <v>7</v>
      </c>
      <c r="K170" s="7">
        <v>1</v>
      </c>
      <c r="L170" s="6" t="s">
        <v>364</v>
      </c>
    </row>
    <row r="171" spans="1:12" x14ac:dyDescent="0.3">
      <c r="A171" s="7">
        <f>VLOOKUP(B171,Sheet3!A:B,2,0)</f>
        <v>41</v>
      </c>
      <c r="B171" s="6" t="s">
        <v>532</v>
      </c>
      <c r="C171" s="7">
        <v>20231120</v>
      </c>
      <c r="D171" s="7">
        <v>4</v>
      </c>
      <c r="E171" s="7" t="str">
        <f>VLOOKUP(B171,Sheet3!A:F,3,0)</f>
        <v>수학Ⅱ</v>
      </c>
      <c r="F171" s="7" t="str">
        <f>VLOOKUP(B171,Sheet3!A:F,4,0)</f>
        <v>3. 적분</v>
      </c>
      <c r="G171" s="7" t="str">
        <f>VLOOKUP(B171,Sheet3!A:F,5,0)</f>
        <v>L. 정적분</v>
      </c>
      <c r="H171" s="7" t="str">
        <f>VLOOKUP(B171,Sheet3!A:F,6,0)</f>
        <v>속도와 거리</v>
      </c>
      <c r="I171" s="7" t="str">
        <f>"mun/"&amp;C171&amp;".png"</f>
        <v>mun/20231120.png</v>
      </c>
      <c r="J171" s="7">
        <v>17</v>
      </c>
      <c r="K171" s="7">
        <v>1</v>
      </c>
      <c r="L171" s="6" t="s">
        <v>365</v>
      </c>
    </row>
    <row r="172" spans="1:12" x14ac:dyDescent="0.3">
      <c r="A172" s="7">
        <f>VLOOKUP(B172,Sheet3!A:B,2,0)</f>
        <v>5</v>
      </c>
      <c r="B172" s="6" t="s">
        <v>498</v>
      </c>
      <c r="C172" s="7">
        <v>20231121</v>
      </c>
      <c r="D172" s="7">
        <v>4</v>
      </c>
      <c r="E172" s="7" t="str">
        <f>VLOOKUP(B172,Sheet3!A:F,3,0)</f>
        <v>수학Ⅰ</v>
      </c>
      <c r="F172" s="7" t="str">
        <f>VLOOKUP(B172,Sheet3!A:F,4,0)</f>
        <v>1. 지수함수와 로그함수</v>
      </c>
      <c r="G172" s="7" t="str">
        <f>VLOOKUP(B172,Sheet3!A:F,5,0)</f>
        <v>B. 지수함수와 로그함수</v>
      </c>
      <c r="H172" s="7" t="str">
        <f>VLOOKUP(B172,Sheet3!A:F,6,0)</f>
        <v>로그함수의 그래프</v>
      </c>
      <c r="I172" s="7" t="str">
        <f>"mun/"&amp;C172&amp;".png"</f>
        <v>mun/20231121.png</v>
      </c>
      <c r="J172" s="7">
        <v>33</v>
      </c>
      <c r="K172" s="7">
        <v>1</v>
      </c>
      <c r="L172" s="6" t="s">
        <v>366</v>
      </c>
    </row>
    <row r="173" spans="1:12" x14ac:dyDescent="0.3">
      <c r="A173" s="7">
        <f>VLOOKUP(B173,Sheet3!A:B,2,0)</f>
        <v>35</v>
      </c>
      <c r="B173" s="6" t="s">
        <v>526</v>
      </c>
      <c r="C173" s="7">
        <v>20231122</v>
      </c>
      <c r="D173" s="7">
        <v>5</v>
      </c>
      <c r="E173" s="7" t="str">
        <f>VLOOKUP(B173,Sheet3!A:F,3,0)</f>
        <v>수학Ⅱ</v>
      </c>
      <c r="F173" s="7" t="str">
        <f>VLOOKUP(B173,Sheet3!A:F,4,0)</f>
        <v>2. 미분</v>
      </c>
      <c r="G173" s="7" t="str">
        <f>VLOOKUP(B173,Sheet3!A:F,5,0)</f>
        <v>J. 도함수의 활용</v>
      </c>
      <c r="H173" s="7" t="str">
        <f>VLOOKUP(B173,Sheet3!A:F,6,0)</f>
        <v>함수의 추론</v>
      </c>
      <c r="I173" s="7" t="str">
        <f>"mun/"&amp;C173&amp;".png"</f>
        <v>mun/20231122.png</v>
      </c>
      <c r="J173" s="7">
        <v>13</v>
      </c>
      <c r="K173" s="7">
        <v>1</v>
      </c>
      <c r="L173" s="6" t="s">
        <v>367</v>
      </c>
    </row>
    <row r="174" spans="1:12" x14ac:dyDescent="0.3">
      <c r="A174" s="7">
        <f>VLOOKUP(B174,Sheet3!A:B,2,0)</f>
        <v>47</v>
      </c>
      <c r="B174" s="6" t="s">
        <v>555</v>
      </c>
      <c r="C174" s="7">
        <v>20231123</v>
      </c>
      <c r="D174" s="7">
        <v>1</v>
      </c>
      <c r="E174" s="7" t="str">
        <f>VLOOKUP(B174,Sheet3!A:F,3,0)</f>
        <v>확률과 통계</v>
      </c>
      <c r="F174" s="7" t="str">
        <f>VLOOKUP(B174,Sheet3!A:F,4,0)</f>
        <v>1. 경우의 수</v>
      </c>
      <c r="G174" s="7" t="str">
        <f>VLOOKUP(B174,Sheet3!A:F,5,0)</f>
        <v>N. 이항정리와 이항계수</v>
      </c>
      <c r="H174" s="7" t="str">
        <f>VLOOKUP(B174,Sheet3!A:F,6,0)</f>
        <v>전개식의 계수</v>
      </c>
      <c r="I174" s="7" t="str">
        <f>"mun/"&amp;C174&amp;".png"</f>
        <v>mun/20231123.png</v>
      </c>
      <c r="J174" s="7">
        <v>3</v>
      </c>
      <c r="K174" s="7">
        <v>1</v>
      </c>
      <c r="L174" s="6" t="s">
        <v>594</v>
      </c>
    </row>
    <row r="175" spans="1:12" x14ac:dyDescent="0.3">
      <c r="A175" s="7">
        <f>VLOOKUP(B175,Sheet3!A:B,2,0)</f>
        <v>44</v>
      </c>
      <c r="B175" s="6" t="s">
        <v>574</v>
      </c>
      <c r="C175" s="7">
        <v>20231124</v>
      </c>
      <c r="D175" s="7">
        <v>1</v>
      </c>
      <c r="E175" s="7" t="str">
        <f>VLOOKUP(B175,Sheet3!A:F,3,0)</f>
        <v>확률과 통계</v>
      </c>
      <c r="F175" s="7" t="str">
        <f>VLOOKUP(B175,Sheet3!A:F,4,0)</f>
        <v>1. 경우의 수</v>
      </c>
      <c r="G175" s="7" t="str">
        <f>VLOOKUP(B175,Sheet3!A:F,5,0)</f>
        <v>M. 여러 가지 순열과 중복 조합</v>
      </c>
      <c r="H175" s="7" t="str">
        <f>VLOOKUP(B175,Sheet3!A:F,6,0)</f>
        <v>중복 순열</v>
      </c>
      <c r="I175" s="7" t="str">
        <f>"mun/"&amp;C175&amp;".png"</f>
        <v>mun/20231124.png</v>
      </c>
      <c r="J175" s="7">
        <v>2</v>
      </c>
      <c r="K175" s="7">
        <v>1</v>
      </c>
      <c r="L175" s="6" t="s">
        <v>595</v>
      </c>
    </row>
    <row r="176" spans="1:12" x14ac:dyDescent="0.3">
      <c r="A176" s="7">
        <f>VLOOKUP(B176,Sheet3!A:B,2,0)</f>
        <v>51</v>
      </c>
      <c r="B176" s="6" t="s">
        <v>670</v>
      </c>
      <c r="C176" s="7">
        <v>20240929</v>
      </c>
      <c r="D176" s="7">
        <v>4</v>
      </c>
      <c r="E176" s="7" t="str">
        <f>VLOOKUP(B176,Sheet3!A:F,3,0)</f>
        <v>확률과 통계</v>
      </c>
      <c r="F176" s="7" t="str">
        <f>VLOOKUP(B176,Sheet3!A:F,4,0)</f>
        <v>2. 확률</v>
      </c>
      <c r="G176" s="7" t="str">
        <f>VLOOKUP(B176,Sheet3!A:F,5,0)</f>
        <v>P. 조건부 확률</v>
      </c>
      <c r="H176" s="7" t="str">
        <f>VLOOKUP(B176,Sheet3!A:F,6,0)</f>
        <v>독립과 종속</v>
      </c>
      <c r="I176" s="7" t="str">
        <f>"mun/"&amp;C176&amp;".png"</f>
        <v>mun/20240929.png</v>
      </c>
      <c r="J176" s="7">
        <v>62</v>
      </c>
      <c r="K176" s="7">
        <v>1</v>
      </c>
      <c r="L176" s="8" t="s">
        <v>658</v>
      </c>
    </row>
    <row r="177" spans="1:12" x14ac:dyDescent="0.3">
      <c r="A177" s="7">
        <f>VLOOKUP(B177,Sheet3!A:B,2,0)</f>
        <v>51</v>
      </c>
      <c r="B177" s="6" t="s">
        <v>670</v>
      </c>
      <c r="C177" s="7">
        <v>20241124</v>
      </c>
      <c r="D177" s="7">
        <v>1</v>
      </c>
      <c r="E177" s="7" t="str">
        <f>VLOOKUP(B177,Sheet3!A:F,3,0)</f>
        <v>확률과 통계</v>
      </c>
      <c r="F177" s="7" t="str">
        <f>VLOOKUP(B177,Sheet3!A:F,4,0)</f>
        <v>2. 확률</v>
      </c>
      <c r="G177" s="7" t="str">
        <f>VLOOKUP(B177,Sheet3!A:F,5,0)</f>
        <v>P. 조건부 확률</v>
      </c>
      <c r="H177" s="7" t="str">
        <f>VLOOKUP(B177,Sheet3!A:F,6,0)</f>
        <v>독립과 종속</v>
      </c>
      <c r="I177" s="7" t="str">
        <f>"mun/"&amp;C177&amp;".png"</f>
        <v>mun/20241124.png</v>
      </c>
      <c r="J177" s="7">
        <v>4</v>
      </c>
      <c r="K177" s="7">
        <v>1</v>
      </c>
      <c r="L177" s="6" t="s">
        <v>611</v>
      </c>
    </row>
    <row r="178" spans="1:12" x14ac:dyDescent="0.3">
      <c r="A178" s="7">
        <f>VLOOKUP(B178,Sheet3!A:B,2,0)</f>
        <v>51</v>
      </c>
      <c r="B178" s="6" t="s">
        <v>670</v>
      </c>
      <c r="C178" s="7">
        <v>20250924</v>
      </c>
      <c r="D178" s="7">
        <v>1</v>
      </c>
      <c r="E178" s="7" t="str">
        <f>VLOOKUP(B178,Sheet3!A:F,3,0)</f>
        <v>확률과 통계</v>
      </c>
      <c r="F178" s="7" t="str">
        <f>VLOOKUP(B178,Sheet3!A:F,4,0)</f>
        <v>2. 확률</v>
      </c>
      <c r="G178" s="7" t="str">
        <f>VLOOKUP(B178,Sheet3!A:F,5,0)</f>
        <v>P. 조건부 확률</v>
      </c>
      <c r="H178" s="7" t="str">
        <f>VLOOKUP(B178,Sheet3!A:F,6,0)</f>
        <v>독립과 종속</v>
      </c>
      <c r="I178" s="7" t="str">
        <f>"mun/"&amp;C178&amp;".png"</f>
        <v>mun/20250924.png</v>
      </c>
      <c r="J178" s="7">
        <v>1</v>
      </c>
      <c r="K178" s="7">
        <v>1</v>
      </c>
      <c r="L178" s="6" t="s">
        <v>625</v>
      </c>
    </row>
    <row r="179" spans="1:12" x14ac:dyDescent="0.3">
      <c r="A179" s="7">
        <f>VLOOKUP(B179,Sheet3!A:B,2,0)</f>
        <v>50</v>
      </c>
      <c r="B179" s="6" t="s">
        <v>671</v>
      </c>
      <c r="C179" s="7">
        <v>20220624</v>
      </c>
      <c r="D179" s="7">
        <v>1</v>
      </c>
      <c r="E179" s="7" t="str">
        <f>VLOOKUP(B179,Sheet3!A:F,3,0)</f>
        <v>확률과 통계</v>
      </c>
      <c r="F179" s="7" t="str">
        <f>VLOOKUP(B179,Sheet3!A:F,4,0)</f>
        <v>2. 확률</v>
      </c>
      <c r="G179" s="7" t="str">
        <f>VLOOKUP(B179,Sheet3!A:F,5,0)</f>
        <v>P. 조건부 확률</v>
      </c>
      <c r="H179" s="7" t="str">
        <f>VLOOKUP(B179,Sheet3!A:F,6,0)</f>
        <v>조건부 확률</v>
      </c>
      <c r="I179" s="7" t="str">
        <f>"mun/"&amp;C179&amp;".png"</f>
        <v>mun/20220624.png</v>
      </c>
      <c r="J179" s="7">
        <v>2</v>
      </c>
      <c r="K179" s="7">
        <v>1</v>
      </c>
      <c r="L179" s="6" t="s">
        <v>561</v>
      </c>
    </row>
    <row r="180" spans="1:12" x14ac:dyDescent="0.3">
      <c r="A180" s="7">
        <f>VLOOKUP(B180,Sheet3!A:B,2,0)</f>
        <v>50</v>
      </c>
      <c r="B180" s="6" t="s">
        <v>671</v>
      </c>
      <c r="C180" s="7">
        <v>20220627</v>
      </c>
      <c r="D180" s="7">
        <v>3</v>
      </c>
      <c r="E180" s="7" t="str">
        <f>VLOOKUP(B180,Sheet3!A:F,3,0)</f>
        <v>확률과 통계</v>
      </c>
      <c r="F180" s="7" t="str">
        <f>VLOOKUP(B180,Sheet3!A:F,4,0)</f>
        <v>2. 확률</v>
      </c>
      <c r="G180" s="7" t="str">
        <f>VLOOKUP(B180,Sheet3!A:F,5,0)</f>
        <v>P. 조건부 확률</v>
      </c>
      <c r="H180" s="7" t="str">
        <f>VLOOKUP(B180,Sheet3!A:F,6,0)</f>
        <v>조건부 확률</v>
      </c>
      <c r="I180" s="7" t="str">
        <f>"mun/"&amp;C180&amp;".png"</f>
        <v>mun/20220627.png</v>
      </c>
      <c r="J180" s="7">
        <v>1</v>
      </c>
      <c r="K180" s="7">
        <v>1</v>
      </c>
      <c r="L180" s="6" t="s">
        <v>563</v>
      </c>
    </row>
    <row r="181" spans="1:12" x14ac:dyDescent="0.3">
      <c r="A181" s="7">
        <f>VLOOKUP(B181,Sheet3!A:B,2,0)</f>
        <v>46</v>
      </c>
      <c r="B181" s="6" t="s">
        <v>644</v>
      </c>
      <c r="C181" s="7">
        <v>20231130</v>
      </c>
      <c r="D181" s="7">
        <v>5</v>
      </c>
      <c r="E181" s="7" t="str">
        <f>VLOOKUP(B181,Sheet3!A:F,3,0)</f>
        <v>확률과 통계</v>
      </c>
      <c r="F181" s="7" t="str">
        <f>VLOOKUP(B181,Sheet3!A:F,4,0)</f>
        <v>1. 경우의 수</v>
      </c>
      <c r="G181" s="7" t="str">
        <f>VLOOKUP(B181,Sheet3!A:F,5,0)</f>
        <v>M. 여러 가지 순열과 중복 조합</v>
      </c>
      <c r="H181" s="7" t="str">
        <f>VLOOKUP(B181,Sheet3!A:F,6,0)</f>
        <v>중복 조합</v>
      </c>
      <c r="I181" s="7" t="str">
        <f>"mun/"&amp;C181&amp;".png"</f>
        <v>mun/20231130.png</v>
      </c>
      <c r="J181" s="7">
        <v>100</v>
      </c>
      <c r="K181" s="7">
        <v>1</v>
      </c>
      <c r="L181" s="8" t="s">
        <v>653</v>
      </c>
    </row>
    <row r="182" spans="1:12" x14ac:dyDescent="0.3">
      <c r="A182" s="7">
        <f>VLOOKUP(B182,Sheet3!A:B,2,0)</f>
        <v>2</v>
      </c>
      <c r="B182" s="6" t="s">
        <v>495</v>
      </c>
      <c r="C182" s="7">
        <v>20240601</v>
      </c>
      <c r="D182" s="7">
        <v>1</v>
      </c>
      <c r="E182" s="7" t="str">
        <f>VLOOKUP(B182,Sheet3!A:F,3,0)</f>
        <v>수학Ⅰ</v>
      </c>
      <c r="F182" s="7" t="str">
        <f>VLOOKUP(B182,Sheet3!A:F,4,0)</f>
        <v>1. 지수함수와 로그함수</v>
      </c>
      <c r="G182" s="7" t="str">
        <f>VLOOKUP(B182,Sheet3!A:F,5,0)</f>
        <v>A. 지수와 로그</v>
      </c>
      <c r="H182" s="7" t="str">
        <f>VLOOKUP(B182,Sheet3!A:F,6,0)</f>
        <v>지수의 연산</v>
      </c>
      <c r="I182" s="7" t="str">
        <f>"mun/"&amp;C182&amp;".png"</f>
        <v>mun/20240601.png</v>
      </c>
      <c r="J182" s="7">
        <v>5</v>
      </c>
      <c r="K182" s="7">
        <v>1</v>
      </c>
      <c r="L182" s="6" t="s">
        <v>325</v>
      </c>
    </row>
    <row r="183" spans="1:12" x14ac:dyDescent="0.3">
      <c r="A183" s="7">
        <f>VLOOKUP(B183,Sheet3!A:B,2,0)</f>
        <v>28</v>
      </c>
      <c r="B183" s="6" t="s">
        <v>519</v>
      </c>
      <c r="C183" s="7">
        <v>20240602</v>
      </c>
      <c r="D183" s="7">
        <v>1</v>
      </c>
      <c r="E183" s="7" t="str">
        <f>VLOOKUP(B183,Sheet3!A:F,3,0)</f>
        <v>수학Ⅱ</v>
      </c>
      <c r="F183" s="7" t="str">
        <f>VLOOKUP(B183,Sheet3!A:F,4,0)</f>
        <v>2. 미분</v>
      </c>
      <c r="G183" s="7" t="str">
        <f>VLOOKUP(B183,Sheet3!A:F,5,0)</f>
        <v>I. 도함수</v>
      </c>
      <c r="H183" s="7" t="str">
        <f>VLOOKUP(B183,Sheet3!A:F,6,0)</f>
        <v>미분계수와 도함수</v>
      </c>
      <c r="I183" s="7" t="str">
        <f>"mun/"&amp;C183&amp;".png"</f>
        <v>mun/20240602.png</v>
      </c>
      <c r="J183" s="7">
        <v>4</v>
      </c>
      <c r="K183" s="7">
        <v>1</v>
      </c>
      <c r="L183" s="6" t="s">
        <v>326</v>
      </c>
    </row>
    <row r="184" spans="1:12" x14ac:dyDescent="0.3">
      <c r="A184" s="7">
        <f>VLOOKUP(B184,Sheet3!A:B,2,0)</f>
        <v>18</v>
      </c>
      <c r="B184" s="6" t="s">
        <v>511</v>
      </c>
      <c r="C184" s="7">
        <v>20240603</v>
      </c>
      <c r="D184" s="7">
        <v>1</v>
      </c>
      <c r="E184" s="7" t="str">
        <f>VLOOKUP(B184,Sheet3!A:F,3,0)</f>
        <v>수학Ⅰ</v>
      </c>
      <c r="F184" s="7" t="str">
        <f>VLOOKUP(B184,Sheet3!A:F,4,0)</f>
        <v>3. 수열</v>
      </c>
      <c r="G184" s="7" t="str">
        <f>VLOOKUP(B184,Sheet3!A:F,5,0)</f>
        <v>E. 수열의 합</v>
      </c>
      <c r="H184" s="7" t="str">
        <f>VLOOKUP(B184,Sheet3!A:F,6,0)</f>
        <v>시그마의 뜻과 성질</v>
      </c>
      <c r="I184" s="7" t="str">
        <f>"mun/"&amp;C184&amp;".png"</f>
        <v>mun/20240603.png</v>
      </c>
      <c r="J184" s="7">
        <v>2</v>
      </c>
      <c r="K184" s="7">
        <v>1</v>
      </c>
      <c r="L184" s="6" t="s">
        <v>327</v>
      </c>
    </row>
    <row r="185" spans="1:12" x14ac:dyDescent="0.3">
      <c r="A185" s="7">
        <f>VLOOKUP(B185,Sheet3!A:B,2,0)</f>
        <v>25</v>
      </c>
      <c r="B185" s="6" t="s">
        <v>517</v>
      </c>
      <c r="C185" s="7">
        <v>20240604</v>
      </c>
      <c r="D185" s="7">
        <v>2</v>
      </c>
      <c r="E185" s="7" t="str">
        <f>VLOOKUP(B185,Sheet3!A:F,3,0)</f>
        <v>수학Ⅱ</v>
      </c>
      <c r="F185" s="7" t="str">
        <f>VLOOKUP(B185,Sheet3!A:F,4,0)</f>
        <v>1. 함수의 극한과 연속</v>
      </c>
      <c r="G185" s="7" t="str">
        <f>VLOOKUP(B185,Sheet3!A:F,5,0)</f>
        <v>H. 함수의 연속</v>
      </c>
      <c r="H185" s="7" t="str">
        <f>VLOOKUP(B185,Sheet3!A:F,6,0)</f>
        <v>함수의 연속</v>
      </c>
      <c r="I185" s="7" t="str">
        <f>"mun/"&amp;C185&amp;".png"</f>
        <v>mun/20240604.png</v>
      </c>
      <c r="J185" s="7">
        <v>2</v>
      </c>
      <c r="K185" s="7">
        <v>1</v>
      </c>
      <c r="L185" s="6" t="s">
        <v>328</v>
      </c>
    </row>
    <row r="186" spans="1:12" x14ac:dyDescent="0.3">
      <c r="A186" s="7">
        <f>VLOOKUP(B186,Sheet3!A:B,2,0)</f>
        <v>29</v>
      </c>
      <c r="B186" s="6" t="s">
        <v>520</v>
      </c>
      <c r="C186" s="7">
        <v>20240605</v>
      </c>
      <c r="D186" s="7">
        <v>2</v>
      </c>
      <c r="E186" s="7" t="str">
        <f>VLOOKUP(B186,Sheet3!A:F,3,0)</f>
        <v>수학Ⅱ</v>
      </c>
      <c r="F186" s="7" t="str">
        <f>VLOOKUP(B186,Sheet3!A:F,4,0)</f>
        <v>2. 미분</v>
      </c>
      <c r="G186" s="7" t="str">
        <f>VLOOKUP(B186,Sheet3!A:F,5,0)</f>
        <v>I. 도함수</v>
      </c>
      <c r="H186" s="7" t="str">
        <f>VLOOKUP(B186,Sheet3!A:F,6,0)</f>
        <v>곱함수의 미분법</v>
      </c>
      <c r="I186" s="7" t="str">
        <f>"mun/"&amp;C186&amp;".png"</f>
        <v>mun/20240605.png</v>
      </c>
      <c r="J186" s="7">
        <v>1</v>
      </c>
      <c r="K186" s="7">
        <v>1</v>
      </c>
      <c r="L186" s="6" t="s">
        <v>329</v>
      </c>
    </row>
    <row r="187" spans="1:12" x14ac:dyDescent="0.3">
      <c r="A187" s="7">
        <f>VLOOKUP(B187,Sheet3!A:B,2,0)</f>
        <v>12</v>
      </c>
      <c r="B187" s="6" t="s">
        <v>505</v>
      </c>
      <c r="C187" s="7">
        <v>20240606</v>
      </c>
      <c r="D187" s="7">
        <v>2</v>
      </c>
      <c r="E187" s="7" t="str">
        <f>VLOOKUP(B187,Sheet3!A:F,3,0)</f>
        <v>수학Ⅰ</v>
      </c>
      <c r="F187" s="7" t="str">
        <f>VLOOKUP(B187,Sheet3!A:F,4,0)</f>
        <v>2. 삼각함수</v>
      </c>
      <c r="G187" s="7" t="str">
        <f>VLOOKUP(B187,Sheet3!A:F,5,0)</f>
        <v>C. 삼각함수</v>
      </c>
      <c r="H187" s="7" t="str">
        <f>VLOOKUP(B187,Sheet3!A:F,6,0)</f>
        <v>삼각함수의 값</v>
      </c>
      <c r="I187" s="7" t="str">
        <f>"mun/"&amp;C187&amp;".png"</f>
        <v>mun/20240606.png</v>
      </c>
      <c r="J187" s="7">
        <v>4</v>
      </c>
      <c r="K187" s="7">
        <v>1</v>
      </c>
      <c r="L187" s="6" t="s">
        <v>330</v>
      </c>
    </row>
    <row r="188" spans="1:12" x14ac:dyDescent="0.3">
      <c r="A188" s="7">
        <f>VLOOKUP(B188,Sheet3!A:B,2,0)</f>
        <v>5</v>
      </c>
      <c r="B188" s="6" t="s">
        <v>498</v>
      </c>
      <c r="C188" s="7">
        <v>20240607</v>
      </c>
      <c r="D188" s="7">
        <v>2</v>
      </c>
      <c r="E188" s="7" t="str">
        <f>VLOOKUP(B188,Sheet3!A:F,3,0)</f>
        <v>수학Ⅰ</v>
      </c>
      <c r="F188" s="7" t="str">
        <f>VLOOKUP(B188,Sheet3!A:F,4,0)</f>
        <v>1. 지수함수와 로그함수</v>
      </c>
      <c r="G188" s="7" t="str">
        <f>VLOOKUP(B188,Sheet3!A:F,5,0)</f>
        <v>B. 지수함수와 로그함수</v>
      </c>
      <c r="H188" s="7" t="str">
        <f>VLOOKUP(B188,Sheet3!A:F,6,0)</f>
        <v>로그함수의 그래프</v>
      </c>
      <c r="I188" s="7" t="str">
        <f>"mun/"&amp;C188&amp;".png"</f>
        <v>mun/20240607.png</v>
      </c>
      <c r="J188" s="7">
        <v>3</v>
      </c>
      <c r="K188" s="7">
        <v>1</v>
      </c>
      <c r="L188" s="6" t="s">
        <v>331</v>
      </c>
    </row>
    <row r="189" spans="1:12" x14ac:dyDescent="0.3">
      <c r="A189" s="7">
        <f>VLOOKUP(B189,Sheet3!A:B,2,0)</f>
        <v>32</v>
      </c>
      <c r="B189" s="6" t="s">
        <v>523</v>
      </c>
      <c r="C189" s="7">
        <v>20240608</v>
      </c>
      <c r="D189" s="7">
        <v>2</v>
      </c>
      <c r="E189" s="7" t="str">
        <f>VLOOKUP(B189,Sheet3!A:F,3,0)</f>
        <v>수학Ⅱ</v>
      </c>
      <c r="F189" s="7" t="str">
        <f>VLOOKUP(B189,Sheet3!A:F,4,0)</f>
        <v>2. 미분</v>
      </c>
      <c r="G189" s="7" t="str">
        <f>VLOOKUP(B189,Sheet3!A:F,5,0)</f>
        <v>J. 도함수의 활용</v>
      </c>
      <c r="H189" s="7" t="str">
        <f>VLOOKUP(B189,Sheet3!A:F,6,0)</f>
        <v>방정식과 부등식에의 활용</v>
      </c>
      <c r="I189" s="7" t="str">
        <f>"mun/"&amp;C189&amp;".png"</f>
        <v>mun/20240608.png</v>
      </c>
      <c r="J189" s="7">
        <v>3</v>
      </c>
      <c r="K189" s="7">
        <v>1</v>
      </c>
      <c r="L189" s="6" t="s">
        <v>332</v>
      </c>
    </row>
    <row r="190" spans="1:12" x14ac:dyDescent="0.3">
      <c r="A190" s="7">
        <f>VLOOKUP(B190,Sheet3!A:B,2,0)</f>
        <v>19</v>
      </c>
      <c r="B190" s="6" t="s">
        <v>512</v>
      </c>
      <c r="C190" s="7">
        <v>20240609</v>
      </c>
      <c r="D190" s="7">
        <v>3</v>
      </c>
      <c r="E190" s="7" t="str">
        <f>VLOOKUP(B190,Sheet3!A:F,3,0)</f>
        <v>수학Ⅰ</v>
      </c>
      <c r="F190" s="7" t="str">
        <f>VLOOKUP(B190,Sheet3!A:F,4,0)</f>
        <v>3. 수열</v>
      </c>
      <c r="G190" s="7" t="str">
        <f>VLOOKUP(B190,Sheet3!A:F,5,0)</f>
        <v>E. 수열의 합</v>
      </c>
      <c r="H190" s="7" t="str">
        <f>VLOOKUP(B190,Sheet3!A:F,6,0)</f>
        <v>수열의 합과 일반항 사이의 관계</v>
      </c>
      <c r="I190" s="7" t="str">
        <f>"mun/"&amp;C190&amp;".png"</f>
        <v>mun/20240609.png</v>
      </c>
      <c r="J190" s="7">
        <v>1</v>
      </c>
      <c r="K190" s="7">
        <v>1</v>
      </c>
      <c r="L190" s="6" t="s">
        <v>333</v>
      </c>
    </row>
    <row r="191" spans="1:12" x14ac:dyDescent="0.3">
      <c r="A191" s="7">
        <f>VLOOKUP(B191,Sheet3!A:B,2,0)</f>
        <v>40</v>
      </c>
      <c r="B191" s="6" t="s">
        <v>531</v>
      </c>
      <c r="C191" s="7">
        <v>20240610</v>
      </c>
      <c r="D191" s="7">
        <v>3</v>
      </c>
      <c r="E191" s="7" t="str">
        <f>VLOOKUP(B191,Sheet3!A:F,3,0)</f>
        <v>수학Ⅱ</v>
      </c>
      <c r="F191" s="7" t="str">
        <f>VLOOKUP(B191,Sheet3!A:F,4,0)</f>
        <v>3. 적분</v>
      </c>
      <c r="G191" s="7" t="str">
        <f>VLOOKUP(B191,Sheet3!A:F,5,0)</f>
        <v>L. 정적분</v>
      </c>
      <c r="H191" s="7" t="str">
        <f>VLOOKUP(B191,Sheet3!A:F,6,0)</f>
        <v>곡선 사이의 넓이</v>
      </c>
      <c r="I191" s="7" t="str">
        <f>"mun/"&amp;C191&amp;".png"</f>
        <v>mun/20240610.png</v>
      </c>
      <c r="J191" s="7">
        <v>2</v>
      </c>
      <c r="K191" s="7">
        <v>1</v>
      </c>
      <c r="L191" s="6" t="s">
        <v>334</v>
      </c>
    </row>
    <row r="192" spans="1:12" x14ac:dyDescent="0.3">
      <c r="A192" s="7">
        <f>VLOOKUP(B192,Sheet3!A:B,2,0)</f>
        <v>24</v>
      </c>
      <c r="B192" s="6" t="s">
        <v>516</v>
      </c>
      <c r="C192" s="7">
        <v>20240611</v>
      </c>
      <c r="D192" s="7">
        <v>3</v>
      </c>
      <c r="E192" s="7" t="str">
        <f>VLOOKUP(B192,Sheet3!A:F,3,0)</f>
        <v>수학Ⅱ</v>
      </c>
      <c r="F192" s="7" t="str">
        <f>VLOOKUP(B192,Sheet3!A:F,4,0)</f>
        <v>1. 함수의 극한과 연속</v>
      </c>
      <c r="G192" s="7" t="str">
        <f>VLOOKUP(B192,Sheet3!A:F,5,0)</f>
        <v>G. 함수의 극한</v>
      </c>
      <c r="H192" s="7" t="str">
        <f>VLOOKUP(B192,Sheet3!A:F,6,0)</f>
        <v>그래프와 도형의 성질에 관한 극한</v>
      </c>
      <c r="I192" s="7" t="str">
        <f>"mun/"&amp;C192&amp;".png"</f>
        <v>mun/20240611.png</v>
      </c>
      <c r="J192" s="7">
        <v>3</v>
      </c>
      <c r="K192" s="7">
        <v>1</v>
      </c>
      <c r="L192" s="6" t="s">
        <v>335</v>
      </c>
    </row>
    <row r="193" spans="1:12" x14ac:dyDescent="0.3">
      <c r="A193" s="7">
        <f>VLOOKUP(B193,Sheet3!A:B,2,0)</f>
        <v>16</v>
      </c>
      <c r="B193" s="6" t="s">
        <v>509</v>
      </c>
      <c r="C193" s="7">
        <v>20240612</v>
      </c>
      <c r="D193" s="7">
        <v>4</v>
      </c>
      <c r="E193" s="7" t="str">
        <f>VLOOKUP(B193,Sheet3!A:F,3,0)</f>
        <v>수학Ⅰ</v>
      </c>
      <c r="F193" s="7" t="str">
        <f>VLOOKUP(B193,Sheet3!A:F,4,0)</f>
        <v>3. 수열</v>
      </c>
      <c r="G193" s="7" t="str">
        <f>VLOOKUP(B193,Sheet3!A:F,5,0)</f>
        <v>D. 등차수열과 등비수열</v>
      </c>
      <c r="H193" s="7" t="str">
        <f>VLOOKUP(B193,Sheet3!A:F,6,0)</f>
        <v>등차수열</v>
      </c>
      <c r="I193" s="7" t="str">
        <f>"mun/"&amp;C193&amp;".png"</f>
        <v>mun/20240612.png</v>
      </c>
      <c r="J193" s="7">
        <v>5</v>
      </c>
      <c r="K193" s="7">
        <v>1</v>
      </c>
      <c r="L193" s="6" t="s">
        <v>336</v>
      </c>
    </row>
    <row r="194" spans="1:12" x14ac:dyDescent="0.3">
      <c r="A194" s="7">
        <f>VLOOKUP(B194,Sheet3!A:B,2,0)</f>
        <v>15</v>
      </c>
      <c r="B194" s="6" t="s">
        <v>508</v>
      </c>
      <c r="C194" s="7">
        <v>20240613</v>
      </c>
      <c r="D194" s="7">
        <v>4</v>
      </c>
      <c r="E194" s="7" t="str">
        <f>VLOOKUP(B194,Sheet3!A:F,3,0)</f>
        <v>수학Ⅰ</v>
      </c>
      <c r="F194" s="7" t="str">
        <f>VLOOKUP(B194,Sheet3!A:F,4,0)</f>
        <v>2. 삼각함수</v>
      </c>
      <c r="G194" s="7" t="str">
        <f>VLOOKUP(B194,Sheet3!A:F,5,0)</f>
        <v>C. 삼각함수</v>
      </c>
      <c r="H194" s="7" t="str">
        <f>VLOOKUP(B194,Sheet3!A:F,6,0)</f>
        <v>사인법칙과 코사인법칙</v>
      </c>
      <c r="I194" s="7" t="str">
        <f>"mun/"&amp;C194&amp;".png"</f>
        <v>mun/20240613.png</v>
      </c>
      <c r="J194" s="7">
        <v>1</v>
      </c>
      <c r="K194" s="7">
        <v>1</v>
      </c>
      <c r="L194" s="6" t="s">
        <v>337</v>
      </c>
    </row>
    <row r="195" spans="1:12" x14ac:dyDescent="0.3">
      <c r="A195" s="7">
        <f>VLOOKUP(B195,Sheet3!A:B,2,0)</f>
        <v>41</v>
      </c>
      <c r="B195" s="6" t="s">
        <v>532</v>
      </c>
      <c r="C195" s="7">
        <v>20240614</v>
      </c>
      <c r="D195" s="7">
        <v>4</v>
      </c>
      <c r="E195" s="7" t="str">
        <f>VLOOKUP(B195,Sheet3!A:F,3,0)</f>
        <v>수학Ⅱ</v>
      </c>
      <c r="F195" s="7" t="str">
        <f>VLOOKUP(B195,Sheet3!A:F,4,0)</f>
        <v>3. 적분</v>
      </c>
      <c r="G195" s="7" t="str">
        <f>VLOOKUP(B195,Sheet3!A:F,5,0)</f>
        <v>L. 정적분</v>
      </c>
      <c r="H195" s="7" t="str">
        <f>VLOOKUP(B195,Sheet3!A:F,6,0)</f>
        <v>속도와 거리</v>
      </c>
      <c r="I195" s="7" t="str">
        <f>"mun/"&amp;C195&amp;".png"</f>
        <v>mun/20240614.png</v>
      </c>
      <c r="J195" s="7">
        <v>3</v>
      </c>
      <c r="K195" s="7">
        <v>1</v>
      </c>
      <c r="L195" s="6" t="s">
        <v>338</v>
      </c>
    </row>
    <row r="196" spans="1:12" x14ac:dyDescent="0.3">
      <c r="A196" s="7">
        <f>VLOOKUP(B196,Sheet3!A:B,2,0)</f>
        <v>21</v>
      </c>
      <c r="B196" s="6" t="s">
        <v>514</v>
      </c>
      <c r="C196" s="7">
        <v>20240615</v>
      </c>
      <c r="D196" s="7">
        <v>5</v>
      </c>
      <c r="E196" s="7" t="str">
        <f>VLOOKUP(B196,Sheet3!A:F,3,0)</f>
        <v>수학Ⅰ</v>
      </c>
      <c r="F196" s="7" t="str">
        <f>VLOOKUP(B196,Sheet3!A:F,4,0)</f>
        <v>3. 수열</v>
      </c>
      <c r="G196" s="7" t="str">
        <f>VLOOKUP(B196,Sheet3!A:F,5,0)</f>
        <v>F. 수학적 귀납법</v>
      </c>
      <c r="H196" s="7" t="str">
        <f>VLOOKUP(B196,Sheet3!A:F,6,0)</f>
        <v>수열의 귀납적 정의</v>
      </c>
      <c r="I196" s="7" t="str">
        <f>"mun/"&amp;C196&amp;".png"</f>
        <v>mun/20240615.png</v>
      </c>
      <c r="J196" s="7">
        <v>2</v>
      </c>
      <c r="K196" s="7">
        <v>1</v>
      </c>
      <c r="L196" s="6" t="s">
        <v>339</v>
      </c>
    </row>
    <row r="197" spans="1:12" x14ac:dyDescent="0.3">
      <c r="A197" s="7">
        <f>VLOOKUP(B197,Sheet3!A:B,2,0)</f>
        <v>6</v>
      </c>
      <c r="B197" s="6" t="s">
        <v>499</v>
      </c>
      <c r="C197" s="7">
        <v>20240616</v>
      </c>
      <c r="D197" s="7">
        <v>1</v>
      </c>
      <c r="E197" s="7" t="str">
        <f>VLOOKUP(B197,Sheet3!A:F,3,0)</f>
        <v>수학Ⅰ</v>
      </c>
      <c r="F197" s="7" t="str">
        <f>VLOOKUP(B197,Sheet3!A:F,4,0)</f>
        <v>1. 지수함수와 로그함수</v>
      </c>
      <c r="G197" s="7" t="str">
        <f>VLOOKUP(B197,Sheet3!A:F,5,0)</f>
        <v>B. 지수함수와 로그함수</v>
      </c>
      <c r="H197" s="7" t="str">
        <f>VLOOKUP(B197,Sheet3!A:F,6,0)</f>
        <v>방정식과 부등식에의 활용</v>
      </c>
      <c r="I197" s="7" t="str">
        <f>"mun/"&amp;C197&amp;".png"</f>
        <v>mun/20240616.png</v>
      </c>
      <c r="J197" s="7">
        <v>3</v>
      </c>
      <c r="K197" s="7">
        <v>1</v>
      </c>
      <c r="L197" s="6" t="s">
        <v>340</v>
      </c>
    </row>
    <row r="198" spans="1:12" x14ac:dyDescent="0.3">
      <c r="A198" s="7">
        <f>VLOOKUP(B198,Sheet3!A:B,2,0)</f>
        <v>37</v>
      </c>
      <c r="B198" s="6" t="s">
        <v>528</v>
      </c>
      <c r="C198" s="7">
        <v>20240617</v>
      </c>
      <c r="D198" s="7">
        <v>1</v>
      </c>
      <c r="E198" s="7" t="str">
        <f>VLOOKUP(B198,Sheet3!A:F,3,0)</f>
        <v>수학Ⅱ</v>
      </c>
      <c r="F198" s="7" t="str">
        <f>VLOOKUP(B198,Sheet3!A:F,4,0)</f>
        <v>3. 적분</v>
      </c>
      <c r="G198" s="7" t="str">
        <f>VLOOKUP(B198,Sheet3!A:F,5,0)</f>
        <v>K. 부정적분</v>
      </c>
      <c r="H198" s="7" t="str">
        <f>VLOOKUP(B198,Sheet3!A:F,6,0)</f>
        <v>부정적분</v>
      </c>
      <c r="I198" s="7" t="str">
        <f>"mun/"&amp;C198&amp;".png"</f>
        <v>mun/20240617.png</v>
      </c>
      <c r="J198" s="7">
        <v>33</v>
      </c>
      <c r="K198" s="7">
        <v>1</v>
      </c>
      <c r="L198" s="6" t="s">
        <v>341</v>
      </c>
    </row>
    <row r="199" spans="1:12" x14ac:dyDescent="0.3">
      <c r="A199" s="7">
        <f>VLOOKUP(B199,Sheet3!A:B,2,0)</f>
        <v>33</v>
      </c>
      <c r="B199" s="6" t="s">
        <v>524</v>
      </c>
      <c r="C199" s="7">
        <v>20240618</v>
      </c>
      <c r="D199" s="7">
        <v>3</v>
      </c>
      <c r="E199" s="7" t="str">
        <f>VLOOKUP(B199,Sheet3!A:F,3,0)</f>
        <v>수학Ⅱ</v>
      </c>
      <c r="F199" s="7" t="str">
        <f>VLOOKUP(B199,Sheet3!A:F,4,0)</f>
        <v>2. 미분</v>
      </c>
      <c r="G199" s="7" t="str">
        <f>VLOOKUP(B199,Sheet3!A:F,5,0)</f>
        <v>J. 도함수의 활용</v>
      </c>
      <c r="H199" s="7" t="str">
        <f>VLOOKUP(B199,Sheet3!A:F,6,0)</f>
        <v>극대와 극소</v>
      </c>
      <c r="I199" s="7" t="str">
        <f>"mun/"&amp;C199&amp;".png"</f>
        <v>mun/20240618.png</v>
      </c>
      <c r="J199" s="7">
        <v>6</v>
      </c>
      <c r="K199" s="7">
        <v>1</v>
      </c>
      <c r="L199" s="6" t="s">
        <v>342</v>
      </c>
    </row>
    <row r="200" spans="1:12" x14ac:dyDescent="0.3">
      <c r="A200" s="7">
        <f>VLOOKUP(B200,Sheet3!A:B,2,0)</f>
        <v>13</v>
      </c>
      <c r="B200" s="6" t="s">
        <v>506</v>
      </c>
      <c r="C200" s="7">
        <v>20240619</v>
      </c>
      <c r="D200" s="7">
        <v>3</v>
      </c>
      <c r="E200" s="7" t="str">
        <f>VLOOKUP(B200,Sheet3!A:F,3,0)</f>
        <v>수학Ⅰ</v>
      </c>
      <c r="F200" s="7" t="str">
        <f>VLOOKUP(B200,Sheet3!A:F,4,0)</f>
        <v>2. 삼각함수</v>
      </c>
      <c r="G200" s="7" t="str">
        <f>VLOOKUP(B200,Sheet3!A:F,5,0)</f>
        <v>C. 삼각함수</v>
      </c>
      <c r="H200" s="7" t="str">
        <f>VLOOKUP(B200,Sheet3!A:F,6,0)</f>
        <v>방정식과 부등식에의 활용</v>
      </c>
      <c r="I200" s="7" t="str">
        <f>"mun/"&amp;C200&amp;".png"</f>
        <v>mun/20240619.png</v>
      </c>
      <c r="J200" s="7">
        <v>8</v>
      </c>
      <c r="K200" s="7">
        <v>1</v>
      </c>
      <c r="L200" s="6" t="s">
        <v>343</v>
      </c>
    </row>
    <row r="201" spans="1:12" x14ac:dyDescent="0.3">
      <c r="A201" s="7">
        <f>VLOOKUP(B201,Sheet3!A:B,2,0)</f>
        <v>35</v>
      </c>
      <c r="B201" s="6" t="s">
        <v>526</v>
      </c>
      <c r="C201" s="7">
        <v>20240620</v>
      </c>
      <c r="D201" s="7">
        <v>4</v>
      </c>
      <c r="E201" s="7" t="str">
        <f>VLOOKUP(B201,Sheet3!A:F,3,0)</f>
        <v>수학Ⅱ</v>
      </c>
      <c r="F201" s="7" t="str">
        <f>VLOOKUP(B201,Sheet3!A:F,4,0)</f>
        <v>2. 미분</v>
      </c>
      <c r="G201" s="7" t="str">
        <f>VLOOKUP(B201,Sheet3!A:F,5,0)</f>
        <v>J. 도함수의 활용</v>
      </c>
      <c r="H201" s="7" t="str">
        <f>VLOOKUP(B201,Sheet3!A:F,6,0)</f>
        <v>함수의 추론</v>
      </c>
      <c r="I201" s="7" t="str">
        <f>"mun/"&amp;C201&amp;".png"</f>
        <v>mun/20240620.png</v>
      </c>
      <c r="J201" s="7">
        <v>39</v>
      </c>
      <c r="K201" s="7">
        <v>1</v>
      </c>
      <c r="L201" s="6" t="s">
        <v>344</v>
      </c>
    </row>
    <row r="202" spans="1:12" x14ac:dyDescent="0.3">
      <c r="A202" s="7">
        <f>VLOOKUP(B202,Sheet3!A:B,2,0)</f>
        <v>9</v>
      </c>
      <c r="B202" s="6" t="s">
        <v>502</v>
      </c>
      <c r="C202" s="7">
        <v>20240621</v>
      </c>
      <c r="D202" s="7">
        <v>4</v>
      </c>
      <c r="E202" s="7" t="str">
        <f>VLOOKUP(B202,Sheet3!A:F,3,0)</f>
        <v>수학Ⅰ</v>
      </c>
      <c r="F202" s="7" t="str">
        <f>VLOOKUP(B202,Sheet3!A:F,4,0)</f>
        <v>1. 지수함수와 로그함수</v>
      </c>
      <c r="G202" s="7" t="str">
        <f>VLOOKUP(B202,Sheet3!A:F,5,0)</f>
        <v>B. 지수함수와 로그함수</v>
      </c>
      <c r="H202" s="7" t="str">
        <f>VLOOKUP(B202,Sheet3!A:F,6,0)</f>
        <v>명제의 진위 판단</v>
      </c>
      <c r="I202" s="7" t="str">
        <f>"mun/"&amp;C202&amp;".png"</f>
        <v>mun/20240621.png</v>
      </c>
      <c r="J202" s="7">
        <v>110</v>
      </c>
      <c r="K202" s="7">
        <v>1</v>
      </c>
      <c r="L202" s="6" t="s">
        <v>345</v>
      </c>
    </row>
    <row r="203" spans="1:12" x14ac:dyDescent="0.3">
      <c r="A203" s="7">
        <f>VLOOKUP(B203,Sheet3!A:B,2,0)</f>
        <v>34</v>
      </c>
      <c r="B203" s="6" t="s">
        <v>525</v>
      </c>
      <c r="C203" s="7">
        <v>20240622</v>
      </c>
      <c r="D203" s="7">
        <v>5</v>
      </c>
      <c r="E203" s="7" t="str">
        <f>VLOOKUP(B203,Sheet3!A:F,3,0)</f>
        <v>수학Ⅱ</v>
      </c>
      <c r="F203" s="7" t="str">
        <f>VLOOKUP(B203,Sheet3!A:F,4,0)</f>
        <v>2. 미분</v>
      </c>
      <c r="G203" s="7" t="str">
        <f>VLOOKUP(B203,Sheet3!A:F,5,0)</f>
        <v>J. 도함수의 활용</v>
      </c>
      <c r="H203" s="7" t="str">
        <f>VLOOKUP(B203,Sheet3!A:F,6,0)</f>
        <v>그래프의 개형</v>
      </c>
      <c r="I203" s="7" t="str">
        <f>"mun/"&amp;C203&amp;".png"</f>
        <v>mun/20240622.png</v>
      </c>
      <c r="J203" s="7">
        <v>380</v>
      </c>
      <c r="K203" s="7">
        <v>1</v>
      </c>
      <c r="L203" s="6" t="s">
        <v>346</v>
      </c>
    </row>
    <row r="204" spans="1:12" x14ac:dyDescent="0.3">
      <c r="A204" s="7">
        <f>VLOOKUP(B204,Sheet3!A:B,2,0)</f>
        <v>45</v>
      </c>
      <c r="B204" s="6" t="s">
        <v>559</v>
      </c>
      <c r="C204" s="7">
        <v>20240623</v>
      </c>
      <c r="D204" s="7">
        <v>1</v>
      </c>
      <c r="E204" s="7" t="str">
        <f>VLOOKUP(B204,Sheet3!A:F,3,0)</f>
        <v>확률과 통계</v>
      </c>
      <c r="F204" s="7" t="str">
        <f>VLOOKUP(B204,Sheet3!A:F,4,0)</f>
        <v>1. 경우의 수</v>
      </c>
      <c r="G204" s="7" t="str">
        <f>VLOOKUP(B204,Sheet3!A:F,5,0)</f>
        <v>M. 여러 가지 순열과 중복 조합</v>
      </c>
      <c r="H204" s="7" t="str">
        <f>VLOOKUP(B204,Sheet3!A:F,6,0)</f>
        <v>같은 것이 있는 순열</v>
      </c>
      <c r="I204" s="7" t="str">
        <f>"mun/"&amp;C204&amp;".png"</f>
        <v>mun/20240623.png</v>
      </c>
      <c r="J204" s="7">
        <v>3</v>
      </c>
      <c r="K204" s="7">
        <v>1</v>
      </c>
      <c r="L204" s="6" t="s">
        <v>600</v>
      </c>
    </row>
    <row r="205" spans="1:12" x14ac:dyDescent="0.3">
      <c r="A205" s="7">
        <f>VLOOKUP(B205,Sheet3!A:B,2,0)</f>
        <v>50</v>
      </c>
      <c r="B205" s="6" t="s">
        <v>671</v>
      </c>
      <c r="C205" s="7">
        <v>20220926</v>
      </c>
      <c r="D205" s="7">
        <v>2</v>
      </c>
      <c r="E205" s="7" t="str">
        <f>VLOOKUP(B205,Sheet3!A:F,3,0)</f>
        <v>확률과 통계</v>
      </c>
      <c r="F205" s="7" t="str">
        <f>VLOOKUP(B205,Sheet3!A:F,4,0)</f>
        <v>2. 확률</v>
      </c>
      <c r="G205" s="7" t="str">
        <f>VLOOKUP(B205,Sheet3!A:F,5,0)</f>
        <v>P. 조건부 확률</v>
      </c>
      <c r="H205" s="7" t="str">
        <f>VLOOKUP(B205,Sheet3!A:F,6,0)</f>
        <v>조건부 확률</v>
      </c>
      <c r="I205" s="7" t="str">
        <f>"mun/"&amp;C205&amp;".png"</f>
        <v>mun/20220926.png</v>
      </c>
      <c r="J205" s="7">
        <v>1</v>
      </c>
      <c r="K205" s="7">
        <v>1</v>
      </c>
      <c r="L205" s="6" t="s">
        <v>570</v>
      </c>
    </row>
    <row r="206" spans="1:12" x14ac:dyDescent="0.3">
      <c r="A206" s="7">
        <f>VLOOKUP(B206,Sheet3!A:B,2,0)</f>
        <v>50</v>
      </c>
      <c r="B206" s="6" t="s">
        <v>671</v>
      </c>
      <c r="C206" s="7">
        <v>20230630</v>
      </c>
      <c r="D206" s="7">
        <v>5</v>
      </c>
      <c r="E206" s="7" t="str">
        <f>VLOOKUP(B206,Sheet3!A:F,3,0)</f>
        <v>확률과 통계</v>
      </c>
      <c r="F206" s="7" t="str">
        <f>VLOOKUP(B206,Sheet3!A:F,4,0)</f>
        <v>2. 확률</v>
      </c>
      <c r="G206" s="7" t="str">
        <f>VLOOKUP(B206,Sheet3!A:F,5,0)</f>
        <v>P. 조건부 확률</v>
      </c>
      <c r="H206" s="7" t="str">
        <f>VLOOKUP(B206,Sheet3!A:F,6,0)</f>
        <v>조건부 확률</v>
      </c>
      <c r="I206" s="7" t="str">
        <f>"mun/"&amp;C206&amp;".png"</f>
        <v>mun/20230630.png</v>
      </c>
      <c r="J206" s="7">
        <v>9</v>
      </c>
      <c r="K206" s="7">
        <v>1</v>
      </c>
      <c r="L206" s="8" t="s">
        <v>648</v>
      </c>
    </row>
    <row r="207" spans="1:12" x14ac:dyDescent="0.3">
      <c r="A207" s="7">
        <f>VLOOKUP(B207,Sheet3!A:B,2,0)</f>
        <v>47</v>
      </c>
      <c r="B207" s="6" t="s">
        <v>555</v>
      </c>
      <c r="C207" s="7">
        <v>20240626</v>
      </c>
      <c r="D207" s="7">
        <v>2</v>
      </c>
      <c r="E207" s="7" t="str">
        <f>VLOOKUP(B207,Sheet3!A:F,3,0)</f>
        <v>확률과 통계</v>
      </c>
      <c r="F207" s="7" t="str">
        <f>VLOOKUP(B207,Sheet3!A:F,4,0)</f>
        <v>1. 경우의 수</v>
      </c>
      <c r="G207" s="7" t="str">
        <f>VLOOKUP(B207,Sheet3!A:F,5,0)</f>
        <v>N. 이항정리와 이항계수</v>
      </c>
      <c r="H207" s="7" t="str">
        <f>VLOOKUP(B207,Sheet3!A:F,6,0)</f>
        <v>전개식의 계수</v>
      </c>
      <c r="I207" s="7" t="str">
        <f>"mun/"&amp;C207&amp;".png"</f>
        <v>mun/20240626.png</v>
      </c>
      <c r="J207" s="7">
        <v>1</v>
      </c>
      <c r="K207" s="7">
        <v>1</v>
      </c>
      <c r="L207" s="6" t="s">
        <v>603</v>
      </c>
    </row>
    <row r="208" spans="1:12" x14ac:dyDescent="0.3">
      <c r="A208" s="7">
        <f>VLOOKUP(B208,Sheet3!A:B,2,0)</f>
        <v>50</v>
      </c>
      <c r="B208" s="6" t="s">
        <v>671</v>
      </c>
      <c r="C208" s="7">
        <v>20230924</v>
      </c>
      <c r="D208" s="7">
        <v>1</v>
      </c>
      <c r="E208" s="7" t="str">
        <f>VLOOKUP(B208,Sheet3!A:F,3,0)</f>
        <v>확률과 통계</v>
      </c>
      <c r="F208" s="7" t="str">
        <f>VLOOKUP(B208,Sheet3!A:F,4,0)</f>
        <v>2. 확률</v>
      </c>
      <c r="G208" s="7" t="str">
        <f>VLOOKUP(B208,Sheet3!A:F,5,0)</f>
        <v>P. 조건부 확률</v>
      </c>
      <c r="H208" s="7" t="str">
        <f>VLOOKUP(B208,Sheet3!A:F,6,0)</f>
        <v>조건부 확률</v>
      </c>
      <c r="I208" s="7" t="str">
        <f>"mun/"&amp;C208&amp;".png"</f>
        <v>mun/20230924.png</v>
      </c>
      <c r="J208" s="7">
        <v>3</v>
      </c>
      <c r="K208" s="7">
        <v>1</v>
      </c>
      <c r="L208" s="6" t="s">
        <v>590</v>
      </c>
    </row>
    <row r="209" spans="1:12" x14ac:dyDescent="0.3">
      <c r="A209" s="7">
        <f>VLOOKUP(B209,Sheet3!A:B,2,0)</f>
        <v>44</v>
      </c>
      <c r="B209" s="6" t="s">
        <v>574</v>
      </c>
      <c r="C209" s="7">
        <v>20240628</v>
      </c>
      <c r="D209" s="7">
        <v>5</v>
      </c>
      <c r="E209" s="7" t="str">
        <f>VLOOKUP(B209,Sheet3!A:F,3,0)</f>
        <v>확률과 통계</v>
      </c>
      <c r="F209" s="7" t="str">
        <f>VLOOKUP(B209,Sheet3!A:F,4,0)</f>
        <v>1. 경우의 수</v>
      </c>
      <c r="G209" s="7" t="str">
        <f>VLOOKUP(B209,Sheet3!A:F,5,0)</f>
        <v>M. 여러 가지 순열과 중복 조합</v>
      </c>
      <c r="H209" s="7" t="str">
        <f>VLOOKUP(B209,Sheet3!A:F,6,0)</f>
        <v>중복 순열</v>
      </c>
      <c r="I209" s="7" t="str">
        <f>"mun/"&amp;C209&amp;".png"</f>
        <v>mun/20240628.png</v>
      </c>
      <c r="J209" s="7">
        <v>5</v>
      </c>
      <c r="K209" s="7">
        <v>1</v>
      </c>
      <c r="L209" s="8" t="s">
        <v>654</v>
      </c>
    </row>
    <row r="210" spans="1:12" x14ac:dyDescent="0.3">
      <c r="A210" s="7">
        <f>VLOOKUP(B210,Sheet3!A:B,2,0)</f>
        <v>46</v>
      </c>
      <c r="B210" s="6" t="s">
        <v>644</v>
      </c>
      <c r="C210" s="7">
        <v>20240629</v>
      </c>
      <c r="D210" s="7">
        <v>4</v>
      </c>
      <c r="E210" s="7" t="str">
        <f>VLOOKUP(B210,Sheet3!A:F,3,0)</f>
        <v>확률과 통계</v>
      </c>
      <c r="F210" s="7" t="str">
        <f>VLOOKUP(B210,Sheet3!A:F,4,0)</f>
        <v>1. 경우의 수</v>
      </c>
      <c r="G210" s="7" t="str">
        <f>VLOOKUP(B210,Sheet3!A:F,5,0)</f>
        <v>M. 여러 가지 순열과 중복 조합</v>
      </c>
      <c r="H210" s="7" t="str">
        <f>VLOOKUP(B210,Sheet3!A:F,6,0)</f>
        <v>중복 조합</v>
      </c>
      <c r="I210" s="7" t="str">
        <f>"mun/"&amp;C210&amp;".png"</f>
        <v>mun/20240629.png</v>
      </c>
      <c r="J210" s="7">
        <v>25</v>
      </c>
      <c r="K210" s="7">
        <v>1</v>
      </c>
      <c r="L210" s="6" t="s">
        <v>605</v>
      </c>
    </row>
    <row r="211" spans="1:12" x14ac:dyDescent="0.3">
      <c r="A211" s="7">
        <f>VLOOKUP(B211,Sheet3!A:B,2,0)</f>
        <v>50</v>
      </c>
      <c r="B211" s="6" t="s">
        <v>671</v>
      </c>
      <c r="C211" s="7">
        <v>20231129</v>
      </c>
      <c r="D211" s="7">
        <v>4</v>
      </c>
      <c r="E211" s="7" t="str">
        <f>VLOOKUP(B211,Sheet3!A:F,3,0)</f>
        <v>확률과 통계</v>
      </c>
      <c r="F211" s="7" t="str">
        <f>VLOOKUP(B211,Sheet3!A:F,4,0)</f>
        <v>2. 확률</v>
      </c>
      <c r="G211" s="7" t="str">
        <f>VLOOKUP(B211,Sheet3!A:F,5,0)</f>
        <v>P. 조건부 확률</v>
      </c>
      <c r="H211" s="7" t="str">
        <f>VLOOKUP(B211,Sheet3!A:F,6,0)</f>
        <v>조건부 확률</v>
      </c>
      <c r="I211" s="7" t="str">
        <f>"mun/"&amp;C211&amp;".png"</f>
        <v>mun/20231129.png</v>
      </c>
      <c r="J211" s="7">
        <v>49</v>
      </c>
      <c r="K211" s="7">
        <v>1</v>
      </c>
      <c r="L211" s="8" t="s">
        <v>652</v>
      </c>
    </row>
    <row r="212" spans="1:12" x14ac:dyDescent="0.3">
      <c r="A212" s="7">
        <f>VLOOKUP(B212,Sheet3!A:B,2,0)</f>
        <v>2</v>
      </c>
      <c r="B212" s="6" t="s">
        <v>495</v>
      </c>
      <c r="C212" s="7">
        <v>20240901</v>
      </c>
      <c r="D212" s="7">
        <v>1</v>
      </c>
      <c r="E212" s="7" t="str">
        <f>VLOOKUP(B212,Sheet3!A:F,3,0)</f>
        <v>수학Ⅰ</v>
      </c>
      <c r="F212" s="7" t="str">
        <f>VLOOKUP(B212,Sheet3!A:F,4,0)</f>
        <v>1. 지수함수와 로그함수</v>
      </c>
      <c r="G212" s="7" t="str">
        <f>VLOOKUP(B212,Sheet3!A:F,5,0)</f>
        <v>A. 지수와 로그</v>
      </c>
      <c r="H212" s="7" t="str">
        <f>VLOOKUP(B212,Sheet3!A:F,6,0)</f>
        <v>지수의 연산</v>
      </c>
      <c r="I212" s="7" t="str">
        <f>"mun/"&amp;C212&amp;".png"</f>
        <v>mun/20240901.png</v>
      </c>
      <c r="J212" s="7">
        <v>5</v>
      </c>
      <c r="K212" s="7">
        <v>1</v>
      </c>
      <c r="L212" s="6" t="s">
        <v>303</v>
      </c>
    </row>
    <row r="213" spans="1:12" x14ac:dyDescent="0.3">
      <c r="A213" s="7">
        <f>VLOOKUP(B213,Sheet3!A:B,2,0)</f>
        <v>28</v>
      </c>
      <c r="B213" s="6" t="s">
        <v>519</v>
      </c>
      <c r="C213" s="7">
        <v>20240902</v>
      </c>
      <c r="D213" s="7">
        <v>1</v>
      </c>
      <c r="E213" s="7" t="str">
        <f>VLOOKUP(B213,Sheet3!A:F,3,0)</f>
        <v>수학Ⅱ</v>
      </c>
      <c r="F213" s="7" t="str">
        <f>VLOOKUP(B213,Sheet3!A:F,4,0)</f>
        <v>2. 미분</v>
      </c>
      <c r="G213" s="7" t="str">
        <f>VLOOKUP(B213,Sheet3!A:F,5,0)</f>
        <v>I. 도함수</v>
      </c>
      <c r="H213" s="7" t="str">
        <f>VLOOKUP(B213,Sheet3!A:F,6,0)</f>
        <v>미분계수와 도함수</v>
      </c>
      <c r="I213" s="7" t="str">
        <f>"mun/"&amp;C213&amp;".png"</f>
        <v>mun/20240902.png</v>
      </c>
      <c r="J213" s="7">
        <v>3</v>
      </c>
      <c r="K213" s="7">
        <v>1</v>
      </c>
      <c r="L213" s="6" t="s">
        <v>304</v>
      </c>
    </row>
    <row r="214" spans="1:12" x14ac:dyDescent="0.3">
      <c r="A214" s="7">
        <f>VLOOKUP(B214,Sheet3!A:B,2,0)</f>
        <v>12</v>
      </c>
      <c r="B214" s="6" t="s">
        <v>505</v>
      </c>
      <c r="C214" s="7">
        <v>20240903</v>
      </c>
      <c r="D214" s="7">
        <v>1</v>
      </c>
      <c r="E214" s="7" t="str">
        <f>VLOOKUP(B214,Sheet3!A:F,3,0)</f>
        <v>수학Ⅰ</v>
      </c>
      <c r="F214" s="7" t="str">
        <f>VLOOKUP(B214,Sheet3!A:F,4,0)</f>
        <v>2. 삼각함수</v>
      </c>
      <c r="G214" s="7" t="str">
        <f>VLOOKUP(B214,Sheet3!A:F,5,0)</f>
        <v>C. 삼각함수</v>
      </c>
      <c r="H214" s="7" t="str">
        <f>VLOOKUP(B214,Sheet3!A:F,6,0)</f>
        <v>삼각함수의 값</v>
      </c>
      <c r="I214" s="7" t="str">
        <f>"mun/"&amp;C214&amp;".png"</f>
        <v>mun/20240903.png</v>
      </c>
      <c r="J214" s="7">
        <v>2</v>
      </c>
      <c r="K214" s="7">
        <v>1</v>
      </c>
      <c r="L214" s="6" t="s">
        <v>305</v>
      </c>
    </row>
    <row r="215" spans="1:12" x14ac:dyDescent="0.3">
      <c r="A215" s="7">
        <f>VLOOKUP(B215,Sheet3!A:B,2,0)</f>
        <v>23</v>
      </c>
      <c r="B215" s="6" t="s">
        <v>515</v>
      </c>
      <c r="C215" s="7">
        <v>20240904</v>
      </c>
      <c r="D215" s="7">
        <v>2</v>
      </c>
      <c r="E215" s="7" t="str">
        <f>VLOOKUP(B215,Sheet3!A:F,3,0)</f>
        <v>수학Ⅱ</v>
      </c>
      <c r="F215" s="7" t="str">
        <f>VLOOKUP(B215,Sheet3!A:F,4,0)</f>
        <v>1. 함수의 극한과 연속</v>
      </c>
      <c r="G215" s="7" t="str">
        <f>VLOOKUP(B215,Sheet3!A:F,5,0)</f>
        <v>G. 함수의 극한</v>
      </c>
      <c r="H215" s="7" t="str">
        <f>VLOOKUP(B215,Sheet3!A:F,6,0)</f>
        <v>함수의 극한</v>
      </c>
      <c r="I215" s="7" t="str">
        <f>"mun/"&amp;C215&amp;".png"</f>
        <v>mun/20240904.png</v>
      </c>
      <c r="J215" s="7">
        <v>1</v>
      </c>
      <c r="K215" s="7">
        <v>1</v>
      </c>
      <c r="L215" s="6" t="s">
        <v>306</v>
      </c>
    </row>
    <row r="216" spans="1:12" x14ac:dyDescent="0.3">
      <c r="A216" s="7">
        <f>VLOOKUP(B216,Sheet3!A:B,2,0)</f>
        <v>17</v>
      </c>
      <c r="B216" s="6" t="s">
        <v>510</v>
      </c>
      <c r="C216" s="7">
        <v>20240905</v>
      </c>
      <c r="D216" s="7">
        <v>2</v>
      </c>
      <c r="E216" s="7" t="str">
        <f>VLOOKUP(B216,Sheet3!A:F,3,0)</f>
        <v>수학Ⅰ</v>
      </c>
      <c r="F216" s="7" t="str">
        <f>VLOOKUP(B216,Sheet3!A:F,4,0)</f>
        <v>3. 수열</v>
      </c>
      <c r="G216" s="7" t="str">
        <f>VLOOKUP(B216,Sheet3!A:F,5,0)</f>
        <v>D. 등차수열과 등비수열</v>
      </c>
      <c r="H216" s="7" t="str">
        <f>VLOOKUP(B216,Sheet3!A:F,6,0)</f>
        <v>등비수열</v>
      </c>
      <c r="I216" s="7" t="str">
        <f>"mun/"&amp;C216&amp;".png"</f>
        <v>mun/20240905.png</v>
      </c>
      <c r="J216" s="7">
        <v>5</v>
      </c>
      <c r="K216" s="7">
        <v>1</v>
      </c>
      <c r="L216" s="6" t="s">
        <v>307</v>
      </c>
    </row>
    <row r="217" spans="1:12" x14ac:dyDescent="0.3">
      <c r="A217" s="7">
        <f>VLOOKUP(B217,Sheet3!A:B,2,0)</f>
        <v>33</v>
      </c>
      <c r="B217" s="6" t="s">
        <v>524</v>
      </c>
      <c r="C217" s="7">
        <v>20240906</v>
      </c>
      <c r="D217" s="7">
        <v>2</v>
      </c>
      <c r="E217" s="7" t="str">
        <f>VLOOKUP(B217,Sheet3!A:F,3,0)</f>
        <v>수학Ⅱ</v>
      </c>
      <c r="F217" s="7" t="str">
        <f>VLOOKUP(B217,Sheet3!A:F,4,0)</f>
        <v>2. 미분</v>
      </c>
      <c r="G217" s="7" t="str">
        <f>VLOOKUP(B217,Sheet3!A:F,5,0)</f>
        <v>J. 도함수의 활용</v>
      </c>
      <c r="H217" s="7" t="str">
        <f>VLOOKUP(B217,Sheet3!A:F,6,0)</f>
        <v>극대와 극소</v>
      </c>
      <c r="I217" s="7" t="str">
        <f>"mun/"&amp;C217&amp;".png"</f>
        <v>mun/20240906.png</v>
      </c>
      <c r="J217" s="7">
        <v>3</v>
      </c>
      <c r="K217" s="7">
        <v>1</v>
      </c>
      <c r="L217" s="6" t="s">
        <v>308</v>
      </c>
    </row>
    <row r="218" spans="1:12" x14ac:dyDescent="0.3">
      <c r="A218" s="7">
        <f>VLOOKUP(B218,Sheet3!A:B,2,0)</f>
        <v>3</v>
      </c>
      <c r="B218" s="6" t="s">
        <v>496</v>
      </c>
      <c r="C218" s="7">
        <v>20240907</v>
      </c>
      <c r="D218" s="7">
        <v>2</v>
      </c>
      <c r="E218" s="7" t="str">
        <f>VLOOKUP(B218,Sheet3!A:F,3,0)</f>
        <v>수학Ⅰ</v>
      </c>
      <c r="F218" s="7" t="str">
        <f>VLOOKUP(B218,Sheet3!A:F,4,0)</f>
        <v>1. 지수함수와 로그함수</v>
      </c>
      <c r="G218" s="7" t="str">
        <f>VLOOKUP(B218,Sheet3!A:F,5,0)</f>
        <v>A. 지수와 로그</v>
      </c>
      <c r="H218" s="7" t="str">
        <f>VLOOKUP(B218,Sheet3!A:F,6,0)</f>
        <v>로그의 연산</v>
      </c>
      <c r="I218" s="7" t="str">
        <f>"mun/"&amp;C218&amp;".png"</f>
        <v>mun/20240907.png</v>
      </c>
      <c r="J218" s="7">
        <v>4</v>
      </c>
      <c r="K218" s="7">
        <v>1</v>
      </c>
      <c r="L218" s="6" t="s">
        <v>309</v>
      </c>
    </row>
    <row r="219" spans="1:12" x14ac:dyDescent="0.3">
      <c r="A219" s="7">
        <f>VLOOKUP(B219,Sheet3!A:B,2,0)</f>
        <v>37</v>
      </c>
      <c r="B219" s="6" t="s">
        <v>528</v>
      </c>
      <c r="C219" s="7">
        <v>20240908</v>
      </c>
      <c r="D219" s="7">
        <v>2</v>
      </c>
      <c r="E219" s="7" t="str">
        <f>VLOOKUP(B219,Sheet3!A:F,3,0)</f>
        <v>수학Ⅱ</v>
      </c>
      <c r="F219" s="7" t="str">
        <f>VLOOKUP(B219,Sheet3!A:F,4,0)</f>
        <v>3. 적분</v>
      </c>
      <c r="G219" s="7" t="str">
        <f>VLOOKUP(B219,Sheet3!A:F,5,0)</f>
        <v>K. 부정적분</v>
      </c>
      <c r="H219" s="7" t="str">
        <f>VLOOKUP(B219,Sheet3!A:F,6,0)</f>
        <v>부정적분</v>
      </c>
      <c r="I219" s="7" t="str">
        <f>"mun/"&amp;C219&amp;".png"</f>
        <v>mun/20240908.png</v>
      </c>
      <c r="J219" s="7">
        <v>4</v>
      </c>
      <c r="K219" s="7">
        <v>1</v>
      </c>
      <c r="L219" s="6" t="s">
        <v>310</v>
      </c>
    </row>
    <row r="220" spans="1:12" x14ac:dyDescent="0.3">
      <c r="A220" s="7">
        <f>VLOOKUP(B220,Sheet3!A:B,2,0)</f>
        <v>13</v>
      </c>
      <c r="B220" s="6" t="s">
        <v>506</v>
      </c>
      <c r="C220" s="7">
        <v>20240909</v>
      </c>
      <c r="D220" s="7">
        <v>3</v>
      </c>
      <c r="E220" s="7" t="str">
        <f>VLOOKUP(B220,Sheet3!A:F,3,0)</f>
        <v>수학Ⅰ</v>
      </c>
      <c r="F220" s="7" t="str">
        <f>VLOOKUP(B220,Sheet3!A:F,4,0)</f>
        <v>2. 삼각함수</v>
      </c>
      <c r="G220" s="7" t="str">
        <f>VLOOKUP(B220,Sheet3!A:F,5,0)</f>
        <v>C. 삼각함수</v>
      </c>
      <c r="H220" s="7" t="str">
        <f>VLOOKUP(B220,Sheet3!A:F,6,0)</f>
        <v>방정식과 부등식에의 활용</v>
      </c>
      <c r="I220" s="7" t="str">
        <f>"mun/"&amp;C220&amp;".png"</f>
        <v>mun/20240909.png</v>
      </c>
      <c r="J220" s="7">
        <v>3</v>
      </c>
      <c r="K220" s="7">
        <v>1</v>
      </c>
      <c r="L220" s="6" t="s">
        <v>311</v>
      </c>
    </row>
    <row r="221" spans="1:12" x14ac:dyDescent="0.3">
      <c r="A221" s="7">
        <f>VLOOKUP(B221,Sheet3!A:B,2,0)</f>
        <v>31</v>
      </c>
      <c r="B221" s="6" t="s">
        <v>522</v>
      </c>
      <c r="C221" s="7">
        <v>20240910</v>
      </c>
      <c r="D221" s="7">
        <v>3</v>
      </c>
      <c r="E221" s="7" t="str">
        <f>VLOOKUP(B221,Sheet3!A:F,3,0)</f>
        <v>수학Ⅱ</v>
      </c>
      <c r="F221" s="7" t="str">
        <f>VLOOKUP(B221,Sheet3!A:F,4,0)</f>
        <v>2. 미분</v>
      </c>
      <c r="G221" s="7" t="str">
        <f>VLOOKUP(B221,Sheet3!A:F,5,0)</f>
        <v>J. 도함수의 활용</v>
      </c>
      <c r="H221" s="7" t="str">
        <f>VLOOKUP(B221,Sheet3!A:F,6,0)</f>
        <v>접선의 방정식</v>
      </c>
      <c r="I221" s="7" t="str">
        <f>"mun/"&amp;C221&amp;".png"</f>
        <v>mun/20240910.png</v>
      </c>
      <c r="J221" s="7">
        <v>3</v>
      </c>
      <c r="K221" s="7">
        <v>1</v>
      </c>
      <c r="L221" s="6" t="s">
        <v>312</v>
      </c>
    </row>
    <row r="222" spans="1:12" x14ac:dyDescent="0.3">
      <c r="A222" s="7">
        <f>VLOOKUP(B222,Sheet3!A:B,2,0)</f>
        <v>41</v>
      </c>
      <c r="B222" s="6" t="s">
        <v>532</v>
      </c>
      <c r="C222" s="7">
        <v>20240911</v>
      </c>
      <c r="D222" s="7">
        <v>3</v>
      </c>
      <c r="E222" s="7" t="str">
        <f>VLOOKUP(B222,Sheet3!A:F,3,0)</f>
        <v>수학Ⅱ</v>
      </c>
      <c r="F222" s="7" t="str">
        <f>VLOOKUP(B222,Sheet3!A:F,4,0)</f>
        <v>3. 적분</v>
      </c>
      <c r="G222" s="7" t="str">
        <f>VLOOKUP(B222,Sheet3!A:F,5,0)</f>
        <v>L. 정적분</v>
      </c>
      <c r="H222" s="7" t="str">
        <f>VLOOKUP(B222,Sheet3!A:F,6,0)</f>
        <v>속도와 거리</v>
      </c>
      <c r="I222" s="7" t="str">
        <f>"mun/"&amp;C222&amp;".png"</f>
        <v>mun/20240911.png</v>
      </c>
      <c r="J222" s="7">
        <v>5</v>
      </c>
      <c r="K222" s="7">
        <v>1</v>
      </c>
      <c r="L222" s="6" t="s">
        <v>313</v>
      </c>
    </row>
    <row r="223" spans="1:12" x14ac:dyDescent="0.3">
      <c r="A223" s="7">
        <f>VLOOKUP(B223,Sheet3!A:B,2,0)</f>
        <v>21</v>
      </c>
      <c r="B223" s="6" t="s">
        <v>514</v>
      </c>
      <c r="C223" s="7">
        <v>20240912</v>
      </c>
      <c r="D223" s="7">
        <v>4</v>
      </c>
      <c r="E223" s="7" t="str">
        <f>VLOOKUP(B223,Sheet3!A:F,3,0)</f>
        <v>수학Ⅰ</v>
      </c>
      <c r="F223" s="7" t="str">
        <f>VLOOKUP(B223,Sheet3!A:F,4,0)</f>
        <v>3. 수열</v>
      </c>
      <c r="G223" s="7" t="str">
        <f>VLOOKUP(B223,Sheet3!A:F,5,0)</f>
        <v>F. 수학적 귀납법</v>
      </c>
      <c r="H223" s="7" t="str">
        <f>VLOOKUP(B223,Sheet3!A:F,6,0)</f>
        <v>수열의 귀납적 정의</v>
      </c>
      <c r="I223" s="7" t="str">
        <f>"mun/"&amp;C223&amp;".png"</f>
        <v>mun/20240912.png</v>
      </c>
      <c r="J223" s="7">
        <v>1</v>
      </c>
      <c r="K223" s="7">
        <v>1</v>
      </c>
      <c r="L223" s="6" t="s">
        <v>314</v>
      </c>
    </row>
    <row r="224" spans="1:12" x14ac:dyDescent="0.3">
      <c r="A224" s="7">
        <f>VLOOKUP(B224,Sheet3!A:B,2,0)</f>
        <v>34</v>
      </c>
      <c r="B224" s="6" t="s">
        <v>525</v>
      </c>
      <c r="C224" s="7">
        <v>20240913</v>
      </c>
      <c r="D224" s="7">
        <v>4</v>
      </c>
      <c r="E224" s="7" t="str">
        <f>VLOOKUP(B224,Sheet3!A:F,3,0)</f>
        <v>수학Ⅱ</v>
      </c>
      <c r="F224" s="7" t="str">
        <f>VLOOKUP(B224,Sheet3!A:F,4,0)</f>
        <v>2. 미분</v>
      </c>
      <c r="G224" s="7" t="str">
        <f>VLOOKUP(B224,Sheet3!A:F,5,0)</f>
        <v>J. 도함수의 활용</v>
      </c>
      <c r="H224" s="7" t="str">
        <f>VLOOKUP(B224,Sheet3!A:F,6,0)</f>
        <v>그래프의 개형</v>
      </c>
      <c r="I224" s="7" t="str">
        <f>"mun/"&amp;C224&amp;".png"</f>
        <v>mun/20240913.png</v>
      </c>
      <c r="J224" s="7">
        <v>3</v>
      </c>
      <c r="K224" s="7">
        <v>1</v>
      </c>
      <c r="L224" s="6" t="s">
        <v>315</v>
      </c>
    </row>
    <row r="225" spans="1:12" x14ac:dyDescent="0.3">
      <c r="A225" s="7">
        <f>VLOOKUP(B225,Sheet3!A:B,2,0)</f>
        <v>4</v>
      </c>
      <c r="B225" s="6" t="s">
        <v>497</v>
      </c>
      <c r="C225" s="7">
        <v>20240914</v>
      </c>
      <c r="D225" s="7">
        <v>4</v>
      </c>
      <c r="E225" s="7" t="str">
        <f>VLOOKUP(B225,Sheet3!A:F,3,0)</f>
        <v>수학Ⅰ</v>
      </c>
      <c r="F225" s="7" t="str">
        <f>VLOOKUP(B225,Sheet3!A:F,4,0)</f>
        <v>1. 지수함수와 로그함수</v>
      </c>
      <c r="G225" s="7" t="str">
        <f>VLOOKUP(B225,Sheet3!A:F,5,0)</f>
        <v>B. 지수함수와 로그함수</v>
      </c>
      <c r="H225" s="7" t="str">
        <f>VLOOKUP(B225,Sheet3!A:F,6,0)</f>
        <v>지수함수의 그래프</v>
      </c>
      <c r="I225" s="7" t="str">
        <f>"mun/"&amp;C225&amp;".png"</f>
        <v>mun/20240914.png</v>
      </c>
      <c r="J225" s="7">
        <v>2</v>
      </c>
      <c r="K225" s="7">
        <v>1</v>
      </c>
      <c r="L225" s="6" t="s">
        <v>316</v>
      </c>
    </row>
    <row r="226" spans="1:12" x14ac:dyDescent="0.3">
      <c r="A226" s="7">
        <f>VLOOKUP(B226,Sheet3!A:B,2,0)</f>
        <v>25</v>
      </c>
      <c r="B226" s="6" t="s">
        <v>517</v>
      </c>
      <c r="C226" s="7">
        <v>20240915</v>
      </c>
      <c r="D226" s="7">
        <v>5</v>
      </c>
      <c r="E226" s="7" t="str">
        <f>VLOOKUP(B226,Sheet3!A:F,3,0)</f>
        <v>수학Ⅱ</v>
      </c>
      <c r="F226" s="7" t="str">
        <f>VLOOKUP(B226,Sheet3!A:F,4,0)</f>
        <v>1. 함수의 극한과 연속</v>
      </c>
      <c r="G226" s="7" t="str">
        <f>VLOOKUP(B226,Sheet3!A:F,5,0)</f>
        <v>H. 함수의 연속</v>
      </c>
      <c r="H226" s="7" t="str">
        <f>VLOOKUP(B226,Sheet3!A:F,6,0)</f>
        <v>함수의 연속</v>
      </c>
      <c r="I226" s="7" t="str">
        <f>"mun/"&amp;C226&amp;".png"</f>
        <v>mun/20240915.png</v>
      </c>
      <c r="J226" s="7">
        <v>4</v>
      </c>
      <c r="K226" s="7">
        <v>1</v>
      </c>
      <c r="L226" s="6" t="s">
        <v>317</v>
      </c>
    </row>
    <row r="227" spans="1:12" x14ac:dyDescent="0.3">
      <c r="A227" s="7">
        <f>VLOOKUP(B227,Sheet3!A:B,2,0)</f>
        <v>6</v>
      </c>
      <c r="B227" s="6" t="s">
        <v>499</v>
      </c>
      <c r="C227" s="7">
        <v>20240916</v>
      </c>
      <c r="D227" s="7">
        <v>1</v>
      </c>
      <c r="E227" s="7" t="str">
        <f>VLOOKUP(B227,Sheet3!A:F,3,0)</f>
        <v>수학Ⅰ</v>
      </c>
      <c r="F227" s="7" t="str">
        <f>VLOOKUP(B227,Sheet3!A:F,4,0)</f>
        <v>1. 지수함수와 로그함수</v>
      </c>
      <c r="G227" s="7" t="str">
        <f>VLOOKUP(B227,Sheet3!A:F,5,0)</f>
        <v>B. 지수함수와 로그함수</v>
      </c>
      <c r="H227" s="7" t="str">
        <f>VLOOKUP(B227,Sheet3!A:F,6,0)</f>
        <v>방정식과 부등식에의 활용</v>
      </c>
      <c r="I227" s="7" t="str">
        <f>"mun/"&amp;C227&amp;".png"</f>
        <v>mun/20240916.png</v>
      </c>
      <c r="J227" s="7">
        <v>6</v>
      </c>
      <c r="K227" s="7">
        <v>1</v>
      </c>
      <c r="L227" s="6" t="s">
        <v>318</v>
      </c>
    </row>
    <row r="228" spans="1:12" x14ac:dyDescent="0.3">
      <c r="A228" s="7">
        <f>VLOOKUP(B228,Sheet3!A:B,2,0)</f>
        <v>18</v>
      </c>
      <c r="B228" s="6" t="s">
        <v>511</v>
      </c>
      <c r="C228" s="7">
        <v>20240917</v>
      </c>
      <c r="D228" s="7">
        <v>1</v>
      </c>
      <c r="E228" s="7" t="str">
        <f>VLOOKUP(B228,Sheet3!A:F,3,0)</f>
        <v>수학Ⅰ</v>
      </c>
      <c r="F228" s="7" t="str">
        <f>VLOOKUP(B228,Sheet3!A:F,4,0)</f>
        <v>3. 수열</v>
      </c>
      <c r="G228" s="7" t="str">
        <f>VLOOKUP(B228,Sheet3!A:F,5,0)</f>
        <v>E. 수열의 합</v>
      </c>
      <c r="H228" s="7" t="str">
        <f>VLOOKUP(B228,Sheet3!A:F,6,0)</f>
        <v>시그마의 뜻과 성질</v>
      </c>
      <c r="I228" s="7" t="str">
        <f>"mun/"&amp;C228&amp;".png"</f>
        <v>mun/20240917.png</v>
      </c>
      <c r="J228" s="7">
        <v>24</v>
      </c>
      <c r="K228" s="7">
        <v>1</v>
      </c>
      <c r="L228" s="6" t="s">
        <v>319</v>
      </c>
    </row>
    <row r="229" spans="1:12" x14ac:dyDescent="0.3">
      <c r="A229" s="7">
        <f>VLOOKUP(B229,Sheet3!A:B,2,0)</f>
        <v>29</v>
      </c>
      <c r="B229" s="6" t="s">
        <v>520</v>
      </c>
      <c r="C229" s="7">
        <v>20240918</v>
      </c>
      <c r="D229" s="7">
        <v>3</v>
      </c>
      <c r="E229" s="7" t="str">
        <f>VLOOKUP(B229,Sheet3!A:F,3,0)</f>
        <v>수학Ⅱ</v>
      </c>
      <c r="F229" s="7" t="str">
        <f>VLOOKUP(B229,Sheet3!A:F,4,0)</f>
        <v>2. 미분</v>
      </c>
      <c r="G229" s="7" t="str">
        <f>VLOOKUP(B229,Sheet3!A:F,5,0)</f>
        <v>I. 도함수</v>
      </c>
      <c r="H229" s="7" t="str">
        <f>VLOOKUP(B229,Sheet3!A:F,6,0)</f>
        <v>곱함수의 미분법</v>
      </c>
      <c r="I229" s="7" t="str">
        <f>"mun/"&amp;C229&amp;".png"</f>
        <v>mun/20240918.png</v>
      </c>
      <c r="J229" s="7">
        <v>5</v>
      </c>
      <c r="K229" s="7">
        <v>1</v>
      </c>
      <c r="L229" s="6" t="s">
        <v>320</v>
      </c>
    </row>
    <row r="230" spans="1:12" x14ac:dyDescent="0.3">
      <c r="A230" s="7">
        <f>VLOOKUP(B230,Sheet3!A:B,2,0)</f>
        <v>40</v>
      </c>
      <c r="B230" s="6" t="s">
        <v>531</v>
      </c>
      <c r="C230" s="7">
        <v>20240919</v>
      </c>
      <c r="D230" s="7">
        <v>3</v>
      </c>
      <c r="E230" s="7" t="str">
        <f>VLOOKUP(B230,Sheet3!A:F,3,0)</f>
        <v>수학Ⅱ</v>
      </c>
      <c r="F230" s="7" t="str">
        <f>VLOOKUP(B230,Sheet3!A:F,4,0)</f>
        <v>3. 적분</v>
      </c>
      <c r="G230" s="7" t="str">
        <f>VLOOKUP(B230,Sheet3!A:F,5,0)</f>
        <v>L. 정적분</v>
      </c>
      <c r="H230" s="7" t="str">
        <f>VLOOKUP(B230,Sheet3!A:F,6,0)</f>
        <v>곡선 사이의 넓이</v>
      </c>
      <c r="I230" s="7" t="str">
        <f>"mun/"&amp;C230&amp;".png"</f>
        <v>mun/20240919.png</v>
      </c>
      <c r="J230" s="7">
        <v>4</v>
      </c>
      <c r="K230" s="7">
        <v>1</v>
      </c>
      <c r="L230" s="6" t="s">
        <v>321</v>
      </c>
    </row>
    <row r="231" spans="1:12" x14ac:dyDescent="0.3">
      <c r="A231" s="7">
        <f>VLOOKUP(B231,Sheet3!A:B,2,0)</f>
        <v>15</v>
      </c>
      <c r="B231" s="6" t="s">
        <v>508</v>
      </c>
      <c r="C231" s="7">
        <v>20240920</v>
      </c>
      <c r="D231" s="7">
        <v>4</v>
      </c>
      <c r="E231" s="7" t="str">
        <f>VLOOKUP(B231,Sheet3!A:F,3,0)</f>
        <v>수학Ⅰ</v>
      </c>
      <c r="F231" s="7" t="str">
        <f>VLOOKUP(B231,Sheet3!A:F,4,0)</f>
        <v>2. 삼각함수</v>
      </c>
      <c r="G231" s="7" t="str">
        <f>VLOOKUP(B231,Sheet3!A:F,5,0)</f>
        <v>C. 삼각함수</v>
      </c>
      <c r="H231" s="7" t="str">
        <f>VLOOKUP(B231,Sheet3!A:F,6,0)</f>
        <v>사인법칙과 코사인법칙</v>
      </c>
      <c r="I231" s="7" t="str">
        <f>"mun/"&amp;C231&amp;".png"</f>
        <v>mun/20240920.png</v>
      </c>
      <c r="J231" s="7">
        <v>98</v>
      </c>
      <c r="K231" s="7">
        <v>1</v>
      </c>
      <c r="L231" s="6" t="s">
        <v>322</v>
      </c>
    </row>
    <row r="232" spans="1:12" x14ac:dyDescent="0.3">
      <c r="A232" s="7">
        <f>VLOOKUP(B232,Sheet3!A:B,2,0)</f>
        <v>20</v>
      </c>
      <c r="B232" s="6" t="s">
        <v>513</v>
      </c>
      <c r="C232" s="7">
        <v>20240921</v>
      </c>
      <c r="D232" s="7">
        <v>4</v>
      </c>
      <c r="E232" s="7" t="str">
        <f>VLOOKUP(B232,Sheet3!A:F,3,0)</f>
        <v>수학Ⅰ</v>
      </c>
      <c r="F232" s="7" t="str">
        <f>VLOOKUP(B232,Sheet3!A:F,4,0)</f>
        <v>3. 수열</v>
      </c>
      <c r="G232" s="7" t="str">
        <f>VLOOKUP(B232,Sheet3!A:F,5,0)</f>
        <v>E. 수열의 합</v>
      </c>
      <c r="H232" s="7" t="str">
        <f>VLOOKUP(B232,Sheet3!A:F,6,0)</f>
        <v>여러 가지 수열의 합</v>
      </c>
      <c r="I232" s="7" t="str">
        <f>"mun/"&amp;C232&amp;".png"</f>
        <v>mun/20240921.png</v>
      </c>
      <c r="J232" s="7">
        <v>19</v>
      </c>
      <c r="K232" s="7">
        <v>1</v>
      </c>
      <c r="L232" s="8" t="s">
        <v>324</v>
      </c>
    </row>
    <row r="233" spans="1:12" x14ac:dyDescent="0.3">
      <c r="A233" s="7">
        <f>VLOOKUP(B233,Sheet3!A:B,2,0)</f>
        <v>39</v>
      </c>
      <c r="B233" s="6" t="s">
        <v>530</v>
      </c>
      <c r="C233" s="7">
        <v>20240922</v>
      </c>
      <c r="D233" s="7">
        <v>5</v>
      </c>
      <c r="E233" s="7" t="str">
        <f>VLOOKUP(B233,Sheet3!A:F,3,0)</f>
        <v>수학Ⅱ</v>
      </c>
      <c r="F233" s="7" t="str">
        <f>VLOOKUP(B233,Sheet3!A:F,4,0)</f>
        <v>3. 적분</v>
      </c>
      <c r="G233" s="7" t="str">
        <f>VLOOKUP(B233,Sheet3!A:F,5,0)</f>
        <v>L. 정적분</v>
      </c>
      <c r="H233" s="7" t="str">
        <f>VLOOKUP(B233,Sheet3!A:F,6,0)</f>
        <v>미적분학의 기본 정리</v>
      </c>
      <c r="I233" s="7" t="str">
        <f>"mun/"&amp;C233&amp;".png"</f>
        <v>mun/20240922.png</v>
      </c>
      <c r="J233" s="7">
        <v>10</v>
      </c>
      <c r="K233" s="7">
        <v>1</v>
      </c>
      <c r="L233" s="8" t="s">
        <v>323</v>
      </c>
    </row>
    <row r="234" spans="1:12" x14ac:dyDescent="0.3">
      <c r="A234" s="7">
        <f>VLOOKUP(B234,Sheet3!A:B,2,0)</f>
        <v>50</v>
      </c>
      <c r="B234" s="6" t="s">
        <v>671</v>
      </c>
      <c r="C234" s="7">
        <v>20240627</v>
      </c>
      <c r="D234" s="7">
        <v>3</v>
      </c>
      <c r="E234" s="7" t="str">
        <f>VLOOKUP(B234,Sheet3!A:F,3,0)</f>
        <v>확률과 통계</v>
      </c>
      <c r="F234" s="7" t="str">
        <f>VLOOKUP(B234,Sheet3!A:F,4,0)</f>
        <v>2. 확률</v>
      </c>
      <c r="G234" s="7" t="str">
        <f>VLOOKUP(B234,Sheet3!A:F,5,0)</f>
        <v>P. 조건부 확률</v>
      </c>
      <c r="H234" s="7" t="str">
        <f>VLOOKUP(B234,Sheet3!A:F,6,0)</f>
        <v>조건부 확률</v>
      </c>
      <c r="I234" s="7" t="str">
        <f>"mun/"&amp;C234&amp;".png"</f>
        <v>mun/20240627.png</v>
      </c>
      <c r="J234" s="7">
        <v>2</v>
      </c>
      <c r="K234" s="7">
        <v>1</v>
      </c>
      <c r="L234" s="6" t="s">
        <v>604</v>
      </c>
    </row>
    <row r="235" spans="1:12" x14ac:dyDescent="0.3">
      <c r="A235" s="7">
        <f>VLOOKUP(B235,Sheet3!A:B,2,0)</f>
        <v>45</v>
      </c>
      <c r="B235" s="6" t="s">
        <v>559</v>
      </c>
      <c r="C235" s="7">
        <v>20240924</v>
      </c>
      <c r="D235" s="7">
        <v>1</v>
      </c>
      <c r="E235" s="7" t="str">
        <f>VLOOKUP(B235,Sheet3!A:F,3,0)</f>
        <v>확률과 통계</v>
      </c>
      <c r="F235" s="7" t="str">
        <f>VLOOKUP(B235,Sheet3!A:F,4,0)</f>
        <v>1. 경우의 수</v>
      </c>
      <c r="G235" s="7" t="str">
        <f>VLOOKUP(B235,Sheet3!A:F,5,0)</f>
        <v>M. 여러 가지 순열과 중복 조합</v>
      </c>
      <c r="H235" s="7" t="str">
        <f>VLOOKUP(B235,Sheet3!A:F,6,0)</f>
        <v>같은 것이 있는 순열</v>
      </c>
      <c r="I235" s="7" t="str">
        <f>"mun/"&amp;C235&amp;".png"</f>
        <v>mun/20240924.png</v>
      </c>
      <c r="J235" s="7">
        <v>3</v>
      </c>
      <c r="K235" s="7">
        <v>1</v>
      </c>
      <c r="L235" s="6" t="s">
        <v>607</v>
      </c>
    </row>
    <row r="236" spans="1:12" x14ac:dyDescent="0.3">
      <c r="A236" s="7">
        <f>VLOOKUP(B236,Sheet3!A:B,2,0)</f>
        <v>50</v>
      </c>
      <c r="B236" s="6" t="s">
        <v>671</v>
      </c>
      <c r="C236" s="7">
        <v>20241128</v>
      </c>
      <c r="D236" s="7">
        <v>5</v>
      </c>
      <c r="E236" s="7" t="str">
        <f>VLOOKUP(B236,Sheet3!A:F,3,0)</f>
        <v>확률과 통계</v>
      </c>
      <c r="F236" s="7" t="str">
        <f>VLOOKUP(B236,Sheet3!A:F,4,0)</f>
        <v>2. 확률</v>
      </c>
      <c r="G236" s="7" t="str">
        <f>VLOOKUP(B236,Sheet3!A:F,5,0)</f>
        <v>P. 조건부 확률</v>
      </c>
      <c r="H236" s="7" t="str">
        <f>VLOOKUP(B236,Sheet3!A:F,6,0)</f>
        <v>조건부 확률</v>
      </c>
      <c r="I236" s="7" t="str">
        <f>"mun/"&amp;C236&amp;".png"</f>
        <v>mun/20241128.png</v>
      </c>
      <c r="J236" s="7">
        <v>4</v>
      </c>
      <c r="K236" s="7">
        <v>1</v>
      </c>
      <c r="L236" s="6" t="s">
        <v>615</v>
      </c>
    </row>
    <row r="237" spans="1:12" x14ac:dyDescent="0.3">
      <c r="A237" s="7">
        <f>VLOOKUP(B237,Sheet3!A:B,2,0)</f>
        <v>50</v>
      </c>
      <c r="B237" s="6" t="s">
        <v>671</v>
      </c>
      <c r="C237" s="7">
        <v>20250628</v>
      </c>
      <c r="D237" s="7">
        <v>4</v>
      </c>
      <c r="E237" s="7" t="str">
        <f>VLOOKUP(B237,Sheet3!A:F,3,0)</f>
        <v>확률과 통계</v>
      </c>
      <c r="F237" s="7" t="str">
        <f>VLOOKUP(B237,Sheet3!A:F,4,0)</f>
        <v>2. 확률</v>
      </c>
      <c r="G237" s="7" t="str">
        <f>VLOOKUP(B237,Sheet3!A:F,5,0)</f>
        <v>P. 조건부 확률</v>
      </c>
      <c r="H237" s="7" t="str">
        <f>VLOOKUP(B237,Sheet3!A:F,6,0)</f>
        <v>조건부 확률</v>
      </c>
      <c r="I237" s="7" t="str">
        <f>"mun/"&amp;C237&amp;".png"</f>
        <v>mun/20250628.png</v>
      </c>
      <c r="J237" s="7">
        <v>1</v>
      </c>
      <c r="K237" s="7">
        <v>1</v>
      </c>
      <c r="L237" s="8" t="s">
        <v>660</v>
      </c>
    </row>
    <row r="238" spans="1:12" x14ac:dyDescent="0.3">
      <c r="A238" s="7">
        <f>VLOOKUP(B238,Sheet3!A:B,2,0)</f>
        <v>50</v>
      </c>
      <c r="B238" s="6" t="s">
        <v>671</v>
      </c>
      <c r="C238" s="7">
        <v>20250928</v>
      </c>
      <c r="D238" s="7">
        <v>4</v>
      </c>
      <c r="E238" s="7" t="str">
        <f>VLOOKUP(B238,Sheet3!A:F,3,0)</f>
        <v>확률과 통계</v>
      </c>
      <c r="F238" s="7" t="str">
        <f>VLOOKUP(B238,Sheet3!A:F,4,0)</f>
        <v>2. 확률</v>
      </c>
      <c r="G238" s="7" t="str">
        <f>VLOOKUP(B238,Sheet3!A:F,5,0)</f>
        <v>P. 조건부 확률</v>
      </c>
      <c r="H238" s="7" t="str">
        <f>VLOOKUP(B238,Sheet3!A:F,6,0)</f>
        <v>조건부 확률</v>
      </c>
      <c r="I238" s="7" t="str">
        <f>"mun/"&amp;C238&amp;".png"</f>
        <v>mun/20250928.png</v>
      </c>
      <c r="J238" s="7">
        <v>4</v>
      </c>
      <c r="K238" s="7">
        <v>1</v>
      </c>
      <c r="L238" s="8" t="s">
        <v>664</v>
      </c>
    </row>
    <row r="239" spans="1:12" x14ac:dyDescent="0.3">
      <c r="A239" s="7">
        <f>VLOOKUP(B239,Sheet3!A:B,2,0)</f>
        <v>50</v>
      </c>
      <c r="B239" s="6" t="s">
        <v>671</v>
      </c>
      <c r="C239" s="7">
        <v>20251124</v>
      </c>
      <c r="D239" s="7">
        <v>1</v>
      </c>
      <c r="E239" s="7" t="str">
        <f>VLOOKUP(B239,Sheet3!A:F,3,0)</f>
        <v>확률과 통계</v>
      </c>
      <c r="F239" s="7" t="str">
        <f>VLOOKUP(B239,Sheet3!A:F,4,0)</f>
        <v>2. 확률</v>
      </c>
      <c r="G239" s="7" t="str">
        <f>VLOOKUP(B239,Sheet3!A:F,5,0)</f>
        <v>P. 조건부 확률</v>
      </c>
      <c r="H239" s="7" t="str">
        <f>VLOOKUP(B239,Sheet3!A:F,6,0)</f>
        <v>조건부 확률</v>
      </c>
      <c r="I239" s="7" t="str">
        <f>"mun/"&amp;C239&amp;".png"</f>
        <v>mun/20251124.png</v>
      </c>
      <c r="J239" s="7">
        <v>3</v>
      </c>
      <c r="K239" s="7">
        <v>1</v>
      </c>
      <c r="L239" s="6" t="s">
        <v>629</v>
      </c>
    </row>
    <row r="240" spans="1:12" x14ac:dyDescent="0.3">
      <c r="A240" s="7">
        <f>VLOOKUP(B240,Sheet3!A:B,2,0)</f>
        <v>54</v>
      </c>
      <c r="B240" s="6" t="s">
        <v>672</v>
      </c>
      <c r="C240" s="7">
        <v>20221129</v>
      </c>
      <c r="D240" s="7">
        <v>4</v>
      </c>
      <c r="E240" s="7" t="str">
        <f>VLOOKUP(B240,Sheet3!A:F,3,0)</f>
        <v>확률과 통계</v>
      </c>
      <c r="F240" s="7" t="str">
        <f>VLOOKUP(B240,Sheet3!A:F,4,0)</f>
        <v>3. 통계</v>
      </c>
      <c r="G240" s="7" t="str">
        <f>VLOOKUP(B240,Sheet3!A:F,5,0)</f>
        <v>Q. 확률분포</v>
      </c>
      <c r="H240" s="7" t="str">
        <f>VLOOKUP(B240,Sheet3!A:F,6,0)</f>
        <v>연속확률분포</v>
      </c>
      <c r="I240" s="7" t="str">
        <f>"mun/"&amp;C240&amp;".png"</f>
        <v>mun/20221129.png</v>
      </c>
      <c r="J240" s="7">
        <v>31</v>
      </c>
      <c r="K240" s="7">
        <v>1</v>
      </c>
      <c r="L240" s="6" t="s">
        <v>581</v>
      </c>
    </row>
    <row r="241" spans="1:12" x14ac:dyDescent="0.3">
      <c r="A241" s="7">
        <f>VLOOKUP(B241,Sheet3!A:B,2,0)</f>
        <v>46</v>
      </c>
      <c r="B241" s="6" t="s">
        <v>644</v>
      </c>
      <c r="C241" s="7">
        <v>20240930</v>
      </c>
      <c r="D241" s="7">
        <v>5</v>
      </c>
      <c r="E241" s="7" t="str">
        <f>VLOOKUP(B241,Sheet3!A:F,3,0)</f>
        <v>확률과 통계</v>
      </c>
      <c r="F241" s="7" t="str">
        <f>VLOOKUP(B241,Sheet3!A:F,4,0)</f>
        <v>1. 경우의 수</v>
      </c>
      <c r="G241" s="7" t="str">
        <f>VLOOKUP(B241,Sheet3!A:F,5,0)</f>
        <v>M. 여러 가지 순열과 중복 조합</v>
      </c>
      <c r="H241" s="7" t="str">
        <f>VLOOKUP(B241,Sheet3!A:F,6,0)</f>
        <v>중복 조합</v>
      </c>
      <c r="I241" s="7" t="str">
        <f>"mun/"&amp;C241&amp;".png"</f>
        <v>mun/20240930.png</v>
      </c>
      <c r="J241" s="7">
        <v>336</v>
      </c>
      <c r="K241" s="7">
        <v>1</v>
      </c>
      <c r="L241" s="8" t="s">
        <v>659</v>
      </c>
    </row>
    <row r="242" spans="1:12" x14ac:dyDescent="0.3">
      <c r="A242" s="7">
        <f>VLOOKUP(B242,Sheet3!A:B,2,0)</f>
        <v>2</v>
      </c>
      <c r="B242" s="6" t="s">
        <v>495</v>
      </c>
      <c r="C242" s="7">
        <v>20241101</v>
      </c>
      <c r="D242" s="7">
        <v>1</v>
      </c>
      <c r="E242" s="7" t="str">
        <f>VLOOKUP(B242,Sheet3!A:F,3,0)</f>
        <v>수학Ⅰ</v>
      </c>
      <c r="F242" s="7" t="str">
        <f>VLOOKUP(B242,Sheet3!A:F,4,0)</f>
        <v>1. 지수함수와 로그함수</v>
      </c>
      <c r="G242" s="7" t="str">
        <f>VLOOKUP(B242,Sheet3!A:F,5,0)</f>
        <v>A. 지수와 로그</v>
      </c>
      <c r="H242" s="7" t="str">
        <f>VLOOKUP(B242,Sheet3!A:F,6,0)</f>
        <v>지수의 연산</v>
      </c>
      <c r="I242" s="7" t="str">
        <f>"mun/"&amp;C242&amp;".png"</f>
        <v>mun/20241101.png</v>
      </c>
      <c r="J242" s="7">
        <v>1</v>
      </c>
      <c r="K242" s="7">
        <v>1</v>
      </c>
      <c r="L242" s="6" t="s">
        <v>281</v>
      </c>
    </row>
    <row r="243" spans="1:12" x14ac:dyDescent="0.3">
      <c r="A243" s="7">
        <f>VLOOKUP(B243,Sheet3!A:B,2,0)</f>
        <v>28</v>
      </c>
      <c r="B243" s="6" t="s">
        <v>519</v>
      </c>
      <c r="C243" s="7">
        <v>20241102</v>
      </c>
      <c r="D243" s="7">
        <v>1</v>
      </c>
      <c r="E243" s="7" t="str">
        <f>VLOOKUP(B243,Sheet3!A:F,3,0)</f>
        <v>수학Ⅱ</v>
      </c>
      <c r="F243" s="7" t="str">
        <f>VLOOKUP(B243,Sheet3!A:F,4,0)</f>
        <v>2. 미분</v>
      </c>
      <c r="G243" s="7" t="str">
        <f>VLOOKUP(B243,Sheet3!A:F,5,0)</f>
        <v>I. 도함수</v>
      </c>
      <c r="H243" s="7" t="str">
        <f>VLOOKUP(B243,Sheet3!A:F,6,0)</f>
        <v>미분계수와 도함수</v>
      </c>
      <c r="I243" s="7" t="str">
        <f>"mun/"&amp;C243&amp;".png"</f>
        <v>mun/20241102.png</v>
      </c>
      <c r="J243" s="7">
        <v>4</v>
      </c>
      <c r="K243" s="7">
        <v>1</v>
      </c>
      <c r="L243" s="6" t="s">
        <v>282</v>
      </c>
    </row>
    <row r="244" spans="1:12" x14ac:dyDescent="0.3">
      <c r="A244" s="7">
        <f>VLOOKUP(B244,Sheet3!A:B,2,0)</f>
        <v>12</v>
      </c>
      <c r="B244" s="6" t="s">
        <v>505</v>
      </c>
      <c r="C244" s="7">
        <v>20241103</v>
      </c>
      <c r="D244" s="7">
        <v>1</v>
      </c>
      <c r="E244" s="7" t="str">
        <f>VLOOKUP(B244,Sheet3!A:F,3,0)</f>
        <v>수학Ⅰ</v>
      </c>
      <c r="F244" s="7" t="str">
        <f>VLOOKUP(B244,Sheet3!A:F,4,0)</f>
        <v>2. 삼각함수</v>
      </c>
      <c r="G244" s="7" t="str">
        <f>VLOOKUP(B244,Sheet3!A:F,5,0)</f>
        <v>C. 삼각함수</v>
      </c>
      <c r="H244" s="7" t="str">
        <f>VLOOKUP(B244,Sheet3!A:F,6,0)</f>
        <v>삼각함수의 값</v>
      </c>
      <c r="I244" s="7" t="str">
        <f>"mun/"&amp;C244&amp;".png"</f>
        <v>mun/20241103.png</v>
      </c>
      <c r="J244" s="7">
        <v>2</v>
      </c>
      <c r="K244" s="7">
        <v>1</v>
      </c>
      <c r="L244" s="6" t="s">
        <v>283</v>
      </c>
    </row>
    <row r="245" spans="1:12" x14ac:dyDescent="0.3">
      <c r="A245" s="7">
        <f>VLOOKUP(B245,Sheet3!A:B,2,0)</f>
        <v>25</v>
      </c>
      <c r="B245" s="6" t="s">
        <v>517</v>
      </c>
      <c r="C245" s="7">
        <v>20241104</v>
      </c>
      <c r="D245" s="7">
        <v>2</v>
      </c>
      <c r="E245" s="7" t="str">
        <f>VLOOKUP(B245,Sheet3!A:F,3,0)</f>
        <v>수학Ⅱ</v>
      </c>
      <c r="F245" s="7" t="str">
        <f>VLOOKUP(B245,Sheet3!A:F,4,0)</f>
        <v>1. 함수의 극한과 연속</v>
      </c>
      <c r="G245" s="7" t="str">
        <f>VLOOKUP(B245,Sheet3!A:F,5,0)</f>
        <v>H. 함수의 연속</v>
      </c>
      <c r="H245" s="7" t="str">
        <f>VLOOKUP(B245,Sheet3!A:F,6,0)</f>
        <v>함수의 연속</v>
      </c>
      <c r="I245" s="7" t="str">
        <f>"mun/"&amp;C245&amp;".png"</f>
        <v>mun/20241104.png</v>
      </c>
      <c r="J245" s="7">
        <v>1</v>
      </c>
      <c r="K245" s="7">
        <v>1</v>
      </c>
      <c r="L245" s="6" t="s">
        <v>284</v>
      </c>
    </row>
    <row r="246" spans="1:12" x14ac:dyDescent="0.3">
      <c r="A246" s="7">
        <f>VLOOKUP(B246,Sheet3!A:B,2,0)</f>
        <v>37</v>
      </c>
      <c r="B246" s="6" t="s">
        <v>528</v>
      </c>
      <c r="C246" s="7">
        <v>20241105</v>
      </c>
      <c r="D246" s="7">
        <v>2</v>
      </c>
      <c r="E246" s="7" t="str">
        <f>VLOOKUP(B246,Sheet3!A:F,3,0)</f>
        <v>수학Ⅱ</v>
      </c>
      <c r="F246" s="7" t="str">
        <f>VLOOKUP(B246,Sheet3!A:F,4,0)</f>
        <v>3. 적분</v>
      </c>
      <c r="G246" s="7" t="str">
        <f>VLOOKUP(B246,Sheet3!A:F,5,0)</f>
        <v>K. 부정적분</v>
      </c>
      <c r="H246" s="7" t="str">
        <f>VLOOKUP(B246,Sheet3!A:F,6,0)</f>
        <v>부정적분</v>
      </c>
      <c r="I246" s="7" t="str">
        <f>"mun/"&amp;C246&amp;".png"</f>
        <v>mun/20241105.png</v>
      </c>
      <c r="J246" s="7">
        <v>4</v>
      </c>
      <c r="K246" s="7">
        <v>1</v>
      </c>
      <c r="L246" s="6" t="s">
        <v>285</v>
      </c>
    </row>
    <row r="247" spans="1:12" x14ac:dyDescent="0.3">
      <c r="A247" s="7">
        <f>VLOOKUP(B247,Sheet3!A:B,2,0)</f>
        <v>17</v>
      </c>
      <c r="B247" s="6" t="s">
        <v>510</v>
      </c>
      <c r="C247" s="7">
        <v>20241106</v>
      </c>
      <c r="D247" s="7">
        <v>2</v>
      </c>
      <c r="E247" s="7" t="str">
        <f>VLOOKUP(B247,Sheet3!A:F,3,0)</f>
        <v>수학Ⅰ</v>
      </c>
      <c r="F247" s="7" t="str">
        <f>VLOOKUP(B247,Sheet3!A:F,4,0)</f>
        <v>3. 수열</v>
      </c>
      <c r="G247" s="7" t="str">
        <f>VLOOKUP(B247,Sheet3!A:F,5,0)</f>
        <v>D. 등차수열과 등비수열</v>
      </c>
      <c r="H247" s="7" t="str">
        <f>VLOOKUP(B247,Sheet3!A:F,6,0)</f>
        <v>등비수열</v>
      </c>
      <c r="I247" s="7" t="str">
        <f>"mun/"&amp;C247&amp;".png"</f>
        <v>mun/20241106.png</v>
      </c>
      <c r="J247" s="7">
        <v>4</v>
      </c>
      <c r="K247" s="7">
        <v>1</v>
      </c>
      <c r="L247" s="6" t="s">
        <v>286</v>
      </c>
    </row>
    <row r="248" spans="1:12" x14ac:dyDescent="0.3">
      <c r="A248" s="7">
        <f>VLOOKUP(B248,Sheet3!A:B,2,0)</f>
        <v>33</v>
      </c>
      <c r="B248" s="6" t="s">
        <v>524</v>
      </c>
      <c r="C248" s="7">
        <v>20241107</v>
      </c>
      <c r="D248" s="7">
        <v>2</v>
      </c>
      <c r="E248" s="7" t="str">
        <f>VLOOKUP(B248,Sheet3!A:F,3,0)</f>
        <v>수학Ⅱ</v>
      </c>
      <c r="F248" s="7" t="str">
        <f>VLOOKUP(B248,Sheet3!A:F,4,0)</f>
        <v>2. 미분</v>
      </c>
      <c r="G248" s="7" t="str">
        <f>VLOOKUP(B248,Sheet3!A:F,5,0)</f>
        <v>J. 도함수의 활용</v>
      </c>
      <c r="H248" s="7" t="str">
        <f>VLOOKUP(B248,Sheet3!A:F,6,0)</f>
        <v>극대와 극소</v>
      </c>
      <c r="I248" s="7" t="str">
        <f>"mun/"&amp;C248&amp;".png"</f>
        <v>mun/20241107.png</v>
      </c>
      <c r="J248" s="7">
        <v>5</v>
      </c>
      <c r="K248" s="7">
        <v>1</v>
      </c>
      <c r="L248" s="6" t="s">
        <v>287</v>
      </c>
    </row>
    <row r="249" spans="1:12" x14ac:dyDescent="0.3">
      <c r="A249" s="7">
        <f>VLOOKUP(B249,Sheet3!A:B,2,0)</f>
        <v>38</v>
      </c>
      <c r="B249" s="6" t="s">
        <v>529</v>
      </c>
      <c r="C249" s="7">
        <v>20241108</v>
      </c>
      <c r="D249" s="7">
        <v>2</v>
      </c>
      <c r="E249" s="7" t="str">
        <f>VLOOKUP(B249,Sheet3!A:F,3,0)</f>
        <v>수학Ⅱ</v>
      </c>
      <c r="F249" s="7" t="str">
        <f>VLOOKUP(B249,Sheet3!A:F,4,0)</f>
        <v>3. 적분</v>
      </c>
      <c r="G249" s="7" t="str">
        <f>VLOOKUP(B249,Sheet3!A:F,5,0)</f>
        <v>L. 정적분</v>
      </c>
      <c r="H249" s="7" t="str">
        <f>VLOOKUP(B249,Sheet3!A:F,6,0)</f>
        <v>정적분</v>
      </c>
      <c r="I249" s="7" t="str">
        <f>"mun/"&amp;C249&amp;".png"</f>
        <v>mun/20241108.png</v>
      </c>
      <c r="J249" s="7">
        <v>2</v>
      </c>
      <c r="K249" s="7">
        <v>1</v>
      </c>
      <c r="L249" s="6" t="s">
        <v>288</v>
      </c>
    </row>
    <row r="250" spans="1:12" x14ac:dyDescent="0.3">
      <c r="A250" s="7">
        <f>VLOOKUP(B250,Sheet3!A:B,2,0)</f>
        <v>3</v>
      </c>
      <c r="B250" s="6" t="s">
        <v>496</v>
      </c>
      <c r="C250" s="7">
        <v>20241109</v>
      </c>
      <c r="D250" s="7">
        <v>3</v>
      </c>
      <c r="E250" s="7" t="str">
        <f>VLOOKUP(B250,Sheet3!A:F,3,0)</f>
        <v>수학Ⅰ</v>
      </c>
      <c r="F250" s="7" t="str">
        <f>VLOOKUP(B250,Sheet3!A:F,4,0)</f>
        <v>1. 지수함수와 로그함수</v>
      </c>
      <c r="G250" s="7" t="str">
        <f>VLOOKUP(B250,Sheet3!A:F,5,0)</f>
        <v>A. 지수와 로그</v>
      </c>
      <c r="H250" s="7" t="str">
        <f>VLOOKUP(B250,Sheet3!A:F,6,0)</f>
        <v>로그의 연산</v>
      </c>
      <c r="I250" s="7" t="str">
        <f>"mun/"&amp;C250&amp;".png"</f>
        <v>mun/20241109.png</v>
      </c>
      <c r="J250" s="7">
        <v>4</v>
      </c>
      <c r="K250" s="7">
        <v>1</v>
      </c>
      <c r="L250" s="6" t="s">
        <v>289</v>
      </c>
    </row>
    <row r="251" spans="1:12" x14ac:dyDescent="0.3">
      <c r="A251" s="7">
        <f>VLOOKUP(B251,Sheet3!A:B,2,0)</f>
        <v>41</v>
      </c>
      <c r="B251" s="6" t="s">
        <v>532</v>
      </c>
      <c r="C251" s="7">
        <v>20241110</v>
      </c>
      <c r="D251" s="7">
        <v>3</v>
      </c>
      <c r="E251" s="7" t="str">
        <f>VLOOKUP(B251,Sheet3!A:F,3,0)</f>
        <v>수학Ⅱ</v>
      </c>
      <c r="F251" s="7" t="str">
        <f>VLOOKUP(B251,Sheet3!A:F,4,0)</f>
        <v>3. 적분</v>
      </c>
      <c r="G251" s="7" t="str">
        <f>VLOOKUP(B251,Sheet3!A:F,5,0)</f>
        <v>L. 정적분</v>
      </c>
      <c r="H251" s="7" t="str">
        <f>VLOOKUP(B251,Sheet3!A:F,6,0)</f>
        <v>속도와 거리</v>
      </c>
      <c r="I251" s="7" t="str">
        <f>"mun/"&amp;C251&amp;".png"</f>
        <v>mun/20241110.png</v>
      </c>
      <c r="J251" s="7">
        <v>2</v>
      </c>
      <c r="K251" s="7">
        <v>1</v>
      </c>
      <c r="L251" s="6" t="s">
        <v>290</v>
      </c>
    </row>
    <row r="252" spans="1:12" x14ac:dyDescent="0.3">
      <c r="A252" s="7">
        <f>VLOOKUP(B252,Sheet3!A:B,2,0)</f>
        <v>20</v>
      </c>
      <c r="B252" s="6" t="s">
        <v>513</v>
      </c>
      <c r="C252" s="7">
        <v>20241111</v>
      </c>
      <c r="D252" s="7">
        <v>3</v>
      </c>
      <c r="E252" s="7" t="str">
        <f>VLOOKUP(B252,Sheet3!A:F,3,0)</f>
        <v>수학Ⅰ</v>
      </c>
      <c r="F252" s="7" t="str">
        <f>VLOOKUP(B252,Sheet3!A:F,4,0)</f>
        <v>3. 수열</v>
      </c>
      <c r="G252" s="7" t="str">
        <f>VLOOKUP(B252,Sheet3!A:F,5,0)</f>
        <v>E. 수열의 합</v>
      </c>
      <c r="H252" s="7" t="str">
        <f>VLOOKUP(B252,Sheet3!A:F,6,0)</f>
        <v>여러 가지 수열의 합</v>
      </c>
      <c r="I252" s="7" t="str">
        <f>"mun/"&amp;C252&amp;".png"</f>
        <v>mun/20241111.png</v>
      </c>
      <c r="J252" s="7">
        <v>1</v>
      </c>
      <c r="K252" s="7">
        <v>1</v>
      </c>
      <c r="L252" s="6" t="s">
        <v>291</v>
      </c>
    </row>
    <row r="253" spans="1:12" x14ac:dyDescent="0.3">
      <c r="A253" s="7">
        <f>VLOOKUP(B253,Sheet3!A:B,2,0)</f>
        <v>31</v>
      </c>
      <c r="B253" s="6" t="s">
        <v>522</v>
      </c>
      <c r="C253" s="7">
        <v>20241112</v>
      </c>
      <c r="D253" s="7">
        <v>4</v>
      </c>
      <c r="E253" s="7" t="str">
        <f>VLOOKUP(B253,Sheet3!A:F,3,0)</f>
        <v>수학Ⅱ</v>
      </c>
      <c r="F253" s="7" t="str">
        <f>VLOOKUP(B253,Sheet3!A:F,4,0)</f>
        <v>2. 미분</v>
      </c>
      <c r="G253" s="7" t="str">
        <f>VLOOKUP(B253,Sheet3!A:F,5,0)</f>
        <v>J. 도함수의 활용</v>
      </c>
      <c r="H253" s="7" t="str">
        <f>VLOOKUP(B253,Sheet3!A:F,6,0)</f>
        <v>접선의 방정식</v>
      </c>
      <c r="I253" s="7" t="str">
        <f>"mun/"&amp;C253&amp;".png"</f>
        <v>mun/20241112.png</v>
      </c>
      <c r="J253" s="7">
        <v>3</v>
      </c>
      <c r="K253" s="7">
        <v>1</v>
      </c>
      <c r="L253" s="6" t="s">
        <v>292</v>
      </c>
    </row>
    <row r="254" spans="1:12" x14ac:dyDescent="0.3">
      <c r="A254" s="7">
        <f>VLOOKUP(B254,Sheet3!A:B,2,0)</f>
        <v>15</v>
      </c>
      <c r="B254" s="6" t="s">
        <v>508</v>
      </c>
      <c r="C254" s="7">
        <v>20241113</v>
      </c>
      <c r="D254" s="7">
        <v>4</v>
      </c>
      <c r="E254" s="7" t="str">
        <f>VLOOKUP(B254,Sheet3!A:F,3,0)</f>
        <v>수학Ⅰ</v>
      </c>
      <c r="F254" s="7" t="str">
        <f>VLOOKUP(B254,Sheet3!A:F,4,0)</f>
        <v>2. 삼각함수</v>
      </c>
      <c r="G254" s="7" t="str">
        <f>VLOOKUP(B254,Sheet3!A:F,5,0)</f>
        <v>C. 삼각함수</v>
      </c>
      <c r="H254" s="7" t="str">
        <f>VLOOKUP(B254,Sheet3!A:F,6,0)</f>
        <v>사인법칙과 코사인법칙</v>
      </c>
      <c r="I254" s="7" t="str">
        <f>"mun/"&amp;C254&amp;".png"</f>
        <v>mun/20241113.png</v>
      </c>
      <c r="J254" s="7">
        <v>1</v>
      </c>
      <c r="K254" s="7">
        <v>1</v>
      </c>
      <c r="L254" s="6" t="s">
        <v>293</v>
      </c>
    </row>
    <row r="255" spans="1:12" x14ac:dyDescent="0.3">
      <c r="A255" s="7">
        <f>VLOOKUP(B255,Sheet3!A:B,2,0)</f>
        <v>35</v>
      </c>
      <c r="B255" s="6" t="s">
        <v>526</v>
      </c>
      <c r="C255" s="7">
        <v>20241114</v>
      </c>
      <c r="D255" s="7">
        <v>4</v>
      </c>
      <c r="E255" s="7" t="str">
        <f>VLOOKUP(B255,Sheet3!A:F,3,0)</f>
        <v>수학Ⅱ</v>
      </c>
      <c r="F255" s="7" t="str">
        <f>VLOOKUP(B255,Sheet3!A:F,4,0)</f>
        <v>2. 미분</v>
      </c>
      <c r="G255" s="7" t="str">
        <f>VLOOKUP(B255,Sheet3!A:F,5,0)</f>
        <v>J. 도함수의 활용</v>
      </c>
      <c r="H255" s="7" t="str">
        <f>VLOOKUP(B255,Sheet3!A:F,6,0)</f>
        <v>함수의 추론</v>
      </c>
      <c r="I255" s="7" t="str">
        <f>"mun/"&amp;C255&amp;".png"</f>
        <v>mun/20241114.png</v>
      </c>
      <c r="J255" s="7">
        <v>1</v>
      </c>
      <c r="K255" s="7">
        <v>1</v>
      </c>
      <c r="L255" s="6" t="s">
        <v>294</v>
      </c>
    </row>
    <row r="256" spans="1:12" x14ac:dyDescent="0.3">
      <c r="A256" s="7">
        <f>VLOOKUP(B256,Sheet3!A:B,2,0)</f>
        <v>21</v>
      </c>
      <c r="B256" s="6" t="s">
        <v>514</v>
      </c>
      <c r="C256" s="7">
        <v>20241115</v>
      </c>
      <c r="D256" s="7">
        <v>5</v>
      </c>
      <c r="E256" s="7" t="str">
        <f>VLOOKUP(B256,Sheet3!A:F,3,0)</f>
        <v>수학Ⅰ</v>
      </c>
      <c r="F256" s="7" t="str">
        <f>VLOOKUP(B256,Sheet3!A:F,4,0)</f>
        <v>3. 수열</v>
      </c>
      <c r="G256" s="7" t="str">
        <f>VLOOKUP(B256,Sheet3!A:F,5,0)</f>
        <v>F. 수학적 귀납법</v>
      </c>
      <c r="H256" s="7" t="str">
        <f>VLOOKUP(B256,Sheet3!A:F,6,0)</f>
        <v>수열의 귀납적 정의</v>
      </c>
      <c r="I256" s="7" t="str">
        <f>"mun/"&amp;C256&amp;".png"</f>
        <v>mun/20241115.png</v>
      </c>
      <c r="J256" s="7">
        <v>3</v>
      </c>
      <c r="K256" s="7">
        <v>1</v>
      </c>
      <c r="L256" s="6" t="s">
        <v>295</v>
      </c>
    </row>
    <row r="257" spans="1:12" x14ac:dyDescent="0.3">
      <c r="A257" s="7">
        <f>VLOOKUP(B257,Sheet3!A:B,2,0)</f>
        <v>6</v>
      </c>
      <c r="B257" s="6" t="s">
        <v>499</v>
      </c>
      <c r="C257" s="7">
        <v>20241116</v>
      </c>
      <c r="D257" s="7">
        <v>1</v>
      </c>
      <c r="E257" s="7" t="str">
        <f>VLOOKUP(B257,Sheet3!A:F,3,0)</f>
        <v>수학Ⅰ</v>
      </c>
      <c r="F257" s="7" t="str">
        <f>VLOOKUP(B257,Sheet3!A:F,4,0)</f>
        <v>1. 지수함수와 로그함수</v>
      </c>
      <c r="G257" s="7" t="str">
        <f>VLOOKUP(B257,Sheet3!A:F,5,0)</f>
        <v>B. 지수함수와 로그함수</v>
      </c>
      <c r="H257" s="7" t="str">
        <f>VLOOKUP(B257,Sheet3!A:F,6,0)</f>
        <v>방정식과 부등식에의 활용</v>
      </c>
      <c r="I257" s="7" t="str">
        <f>"mun/"&amp;C257&amp;".png"</f>
        <v>mun/20241116.png</v>
      </c>
      <c r="J257" s="7">
        <v>2</v>
      </c>
      <c r="K257" s="7">
        <v>1</v>
      </c>
      <c r="L257" s="6" t="s">
        <v>296</v>
      </c>
    </row>
    <row r="258" spans="1:12" x14ac:dyDescent="0.3">
      <c r="A258" s="7">
        <f>VLOOKUP(B258,Sheet3!A:B,2,0)</f>
        <v>29</v>
      </c>
      <c r="B258" s="6" t="s">
        <v>520</v>
      </c>
      <c r="C258" s="7">
        <v>20241117</v>
      </c>
      <c r="D258" s="7">
        <v>1</v>
      </c>
      <c r="E258" s="7" t="str">
        <f>VLOOKUP(B258,Sheet3!A:F,3,0)</f>
        <v>수학Ⅱ</v>
      </c>
      <c r="F258" s="7" t="str">
        <f>VLOOKUP(B258,Sheet3!A:F,4,0)</f>
        <v>2. 미분</v>
      </c>
      <c r="G258" s="7" t="str">
        <f>VLOOKUP(B258,Sheet3!A:F,5,0)</f>
        <v>I. 도함수</v>
      </c>
      <c r="H258" s="7" t="str">
        <f>VLOOKUP(B258,Sheet3!A:F,6,0)</f>
        <v>곱함수의 미분법</v>
      </c>
      <c r="I258" s="7" t="str">
        <f>"mun/"&amp;C258&amp;".png"</f>
        <v>mun/20241117.png</v>
      </c>
      <c r="J258" s="7">
        <v>8</v>
      </c>
      <c r="K258" s="7">
        <v>1</v>
      </c>
      <c r="L258" s="6" t="s">
        <v>297</v>
      </c>
    </row>
    <row r="259" spans="1:12" x14ac:dyDescent="0.3">
      <c r="A259" s="7">
        <f>VLOOKUP(B259,Sheet3!A:B,2,0)</f>
        <v>18</v>
      </c>
      <c r="B259" s="6" t="s">
        <v>511</v>
      </c>
      <c r="C259" s="7">
        <v>20241118</v>
      </c>
      <c r="D259" s="7">
        <v>3</v>
      </c>
      <c r="E259" s="7" t="str">
        <f>VLOOKUP(B259,Sheet3!A:F,3,0)</f>
        <v>수학Ⅰ</v>
      </c>
      <c r="F259" s="7" t="str">
        <f>VLOOKUP(B259,Sheet3!A:F,4,0)</f>
        <v>3. 수열</v>
      </c>
      <c r="G259" s="7" t="str">
        <f>VLOOKUP(B259,Sheet3!A:F,5,0)</f>
        <v>E. 수열의 합</v>
      </c>
      <c r="H259" s="7" t="str">
        <f>VLOOKUP(B259,Sheet3!A:F,6,0)</f>
        <v>시그마의 뜻과 성질</v>
      </c>
      <c r="I259" s="7" t="str">
        <f>"mun/"&amp;C259&amp;".png"</f>
        <v>mun/20241118.png</v>
      </c>
      <c r="J259" s="7">
        <v>9</v>
      </c>
      <c r="K259" s="7">
        <v>1</v>
      </c>
      <c r="L259" s="6" t="s">
        <v>298</v>
      </c>
    </row>
    <row r="260" spans="1:12" x14ac:dyDescent="0.3">
      <c r="A260" s="7">
        <f>VLOOKUP(B260,Sheet3!A:B,2,0)</f>
        <v>13</v>
      </c>
      <c r="B260" s="6" t="s">
        <v>506</v>
      </c>
      <c r="C260" s="7">
        <v>20241119</v>
      </c>
      <c r="D260" s="7">
        <v>3</v>
      </c>
      <c r="E260" s="7" t="str">
        <f>VLOOKUP(B260,Sheet3!A:F,3,0)</f>
        <v>수학Ⅰ</v>
      </c>
      <c r="F260" s="7" t="str">
        <f>VLOOKUP(B260,Sheet3!A:F,4,0)</f>
        <v>2. 삼각함수</v>
      </c>
      <c r="G260" s="7" t="str">
        <f>VLOOKUP(B260,Sheet3!A:F,5,0)</f>
        <v>C. 삼각함수</v>
      </c>
      <c r="H260" s="7" t="str">
        <f>VLOOKUP(B260,Sheet3!A:F,6,0)</f>
        <v>방정식과 부등식에의 활용</v>
      </c>
      <c r="I260" s="7" t="str">
        <f>"mun/"&amp;C260&amp;".png"</f>
        <v>mun/20241119.png</v>
      </c>
      <c r="J260" s="7">
        <v>32</v>
      </c>
      <c r="K260" s="7">
        <v>1</v>
      </c>
      <c r="L260" s="6" t="s">
        <v>299</v>
      </c>
    </row>
    <row r="261" spans="1:12" x14ac:dyDescent="0.3">
      <c r="A261" s="7">
        <f>VLOOKUP(B261,Sheet3!A:B,2,0)</f>
        <v>31</v>
      </c>
      <c r="B261" s="6" t="s">
        <v>522</v>
      </c>
      <c r="C261" s="7">
        <v>20241120</v>
      </c>
      <c r="D261" s="7">
        <v>4</v>
      </c>
      <c r="E261" s="7" t="str">
        <f>VLOOKUP(B261,Sheet3!A:F,3,0)</f>
        <v>수학Ⅱ</v>
      </c>
      <c r="F261" s="7" t="str">
        <f>VLOOKUP(B261,Sheet3!A:F,4,0)</f>
        <v>2. 미분</v>
      </c>
      <c r="G261" s="7" t="str">
        <f>VLOOKUP(B261,Sheet3!A:F,5,0)</f>
        <v>J. 도함수의 활용</v>
      </c>
      <c r="H261" s="7" t="str">
        <f>VLOOKUP(B261,Sheet3!A:F,6,0)</f>
        <v>접선의 방정식</v>
      </c>
      <c r="I261" s="7" t="str">
        <f>"mun/"&amp;C261&amp;".png"</f>
        <v>mun/20241120.png</v>
      </c>
      <c r="J261" s="7">
        <v>25</v>
      </c>
      <c r="K261" s="7">
        <v>1</v>
      </c>
      <c r="L261" s="6" t="s">
        <v>300</v>
      </c>
    </row>
    <row r="262" spans="1:12" x14ac:dyDescent="0.3">
      <c r="A262" s="7">
        <f>VLOOKUP(B262,Sheet3!A:B,2,0)</f>
        <v>7</v>
      </c>
      <c r="B262" s="6" t="s">
        <v>500</v>
      </c>
      <c r="C262" s="7">
        <v>20241121</v>
      </c>
      <c r="D262" s="7">
        <v>4</v>
      </c>
      <c r="E262" s="7" t="str">
        <f>VLOOKUP(B262,Sheet3!A:F,3,0)</f>
        <v>수학Ⅰ</v>
      </c>
      <c r="F262" s="7" t="str">
        <f>VLOOKUP(B262,Sheet3!A:F,4,0)</f>
        <v>1. 지수함수와 로그함수</v>
      </c>
      <c r="G262" s="7" t="str">
        <f>VLOOKUP(B262,Sheet3!A:F,5,0)</f>
        <v>B. 지수함수와 로그함수</v>
      </c>
      <c r="H262" s="7" t="str">
        <f>VLOOKUP(B262,Sheet3!A:F,6,0)</f>
        <v>제한된 범위에서 최대 또는 최소</v>
      </c>
      <c r="I262" s="7" t="str">
        <f>"mun/"&amp;C262&amp;".png"</f>
        <v>mun/20241121.png</v>
      </c>
      <c r="J262" s="7">
        <v>10</v>
      </c>
      <c r="K262" s="7">
        <v>1</v>
      </c>
      <c r="L262" s="6" t="s">
        <v>301</v>
      </c>
    </row>
    <row r="263" spans="1:12" x14ac:dyDescent="0.3">
      <c r="A263" s="7">
        <f>VLOOKUP(B263,Sheet3!A:B,2,0)</f>
        <v>35</v>
      </c>
      <c r="B263" s="6" t="s">
        <v>526</v>
      </c>
      <c r="C263" s="7">
        <v>20241122</v>
      </c>
      <c r="D263" s="7">
        <v>5</v>
      </c>
      <c r="E263" s="7" t="str">
        <f>VLOOKUP(B263,Sheet3!A:F,3,0)</f>
        <v>수학Ⅱ</v>
      </c>
      <c r="F263" s="7" t="str">
        <f>VLOOKUP(B263,Sheet3!A:F,4,0)</f>
        <v>2. 미분</v>
      </c>
      <c r="G263" s="7" t="str">
        <f>VLOOKUP(B263,Sheet3!A:F,5,0)</f>
        <v>J. 도함수의 활용</v>
      </c>
      <c r="H263" s="7" t="str">
        <f>VLOOKUP(B263,Sheet3!A:F,6,0)</f>
        <v>함수의 추론</v>
      </c>
      <c r="I263" s="7" t="str">
        <f>"mun/"&amp;C263&amp;".png"</f>
        <v>mun/20241122.png</v>
      </c>
      <c r="J263" s="7">
        <v>483</v>
      </c>
      <c r="K263" s="7">
        <v>1</v>
      </c>
      <c r="L263" s="6" t="s">
        <v>302</v>
      </c>
    </row>
    <row r="264" spans="1:12" x14ac:dyDescent="0.3">
      <c r="A264" s="7">
        <f>VLOOKUP(B264,Sheet3!A:B,2,0)</f>
        <v>45</v>
      </c>
      <c r="B264" s="6" t="s">
        <v>559</v>
      </c>
      <c r="C264" s="7">
        <v>20241123</v>
      </c>
      <c r="D264" s="7">
        <v>1</v>
      </c>
      <c r="E264" s="7" t="str">
        <f>VLOOKUP(B264,Sheet3!A:F,3,0)</f>
        <v>확률과 통계</v>
      </c>
      <c r="F264" s="7" t="str">
        <f>VLOOKUP(B264,Sheet3!A:F,4,0)</f>
        <v>1. 경우의 수</v>
      </c>
      <c r="G264" s="7" t="str">
        <f>VLOOKUP(B264,Sheet3!A:F,5,0)</f>
        <v>M. 여러 가지 순열과 중복 조합</v>
      </c>
      <c r="H264" s="7" t="str">
        <f>VLOOKUP(B264,Sheet3!A:F,6,0)</f>
        <v>같은 것이 있는 순열</v>
      </c>
      <c r="I264" s="7" t="str">
        <f>"mun/"&amp;C264&amp;".png"</f>
        <v>mun/20241123.png</v>
      </c>
      <c r="J264" s="7">
        <v>3</v>
      </c>
      <c r="K264" s="7">
        <v>1</v>
      </c>
      <c r="L264" s="6" t="s">
        <v>610</v>
      </c>
    </row>
    <row r="265" spans="1:12" x14ac:dyDescent="0.3">
      <c r="A265" s="7">
        <f>VLOOKUP(B265,Sheet3!A:B,2,0)</f>
        <v>54</v>
      </c>
      <c r="B265" s="6" t="s">
        <v>672</v>
      </c>
      <c r="C265" s="7">
        <v>20231128</v>
      </c>
      <c r="D265" s="7">
        <v>4</v>
      </c>
      <c r="E265" s="7" t="str">
        <f>VLOOKUP(B265,Sheet3!A:F,3,0)</f>
        <v>확률과 통계</v>
      </c>
      <c r="F265" s="7" t="str">
        <f>VLOOKUP(B265,Sheet3!A:F,4,0)</f>
        <v>3. 통계</v>
      </c>
      <c r="G265" s="7" t="str">
        <f>VLOOKUP(B265,Sheet3!A:F,5,0)</f>
        <v>Q. 확률분포</v>
      </c>
      <c r="H265" s="7" t="str">
        <f>VLOOKUP(B265,Sheet3!A:F,6,0)</f>
        <v>연속확률분포</v>
      </c>
      <c r="I265" s="7" t="str">
        <f>"mun/"&amp;C265&amp;".png"</f>
        <v>mun/20231128.png</v>
      </c>
      <c r="J265" s="7">
        <v>4</v>
      </c>
      <c r="K265" s="7">
        <v>1</v>
      </c>
      <c r="L265" s="6" t="s">
        <v>599</v>
      </c>
    </row>
    <row r="266" spans="1:12" x14ac:dyDescent="0.3">
      <c r="A266" s="7">
        <f>VLOOKUP(B266,Sheet3!A:B,2,0)</f>
        <v>52</v>
      </c>
      <c r="B266" s="6" t="s">
        <v>673</v>
      </c>
      <c r="C266" s="7">
        <v>20220929</v>
      </c>
      <c r="D266" s="7">
        <v>4</v>
      </c>
      <c r="E266" s="7" t="str">
        <f>VLOOKUP(B266,Sheet3!A:F,3,0)</f>
        <v>확률과 통계</v>
      </c>
      <c r="F266" s="7" t="str">
        <f>VLOOKUP(B266,Sheet3!A:F,4,0)</f>
        <v>3. 통계</v>
      </c>
      <c r="G266" s="7" t="str">
        <f>VLOOKUP(B266,Sheet3!A:F,5,0)</f>
        <v>Q. 확률분포</v>
      </c>
      <c r="H266" s="7" t="str">
        <f>VLOOKUP(B266,Sheet3!A:F,6,0)</f>
        <v>이산확률분포</v>
      </c>
      <c r="I266" s="7" t="str">
        <f>"mun/"&amp;C266&amp;".png"</f>
        <v>mun/20220929.png</v>
      </c>
      <c r="J266" s="7">
        <v>78</v>
      </c>
      <c r="K266" s="7">
        <v>1</v>
      </c>
      <c r="L266" s="6" t="s">
        <v>572</v>
      </c>
    </row>
    <row r="267" spans="1:12" x14ac:dyDescent="0.3">
      <c r="A267" s="7">
        <f>VLOOKUP(B267,Sheet3!A:B,2,0)</f>
        <v>52</v>
      </c>
      <c r="B267" s="6" t="s">
        <v>673</v>
      </c>
      <c r="C267" s="7">
        <v>20230927</v>
      </c>
      <c r="D267" s="7">
        <v>3</v>
      </c>
      <c r="E267" s="7" t="str">
        <f>VLOOKUP(B267,Sheet3!A:F,3,0)</f>
        <v>확률과 통계</v>
      </c>
      <c r="F267" s="7" t="str">
        <f>VLOOKUP(B267,Sheet3!A:F,4,0)</f>
        <v>3. 통계</v>
      </c>
      <c r="G267" s="7" t="str">
        <f>VLOOKUP(B267,Sheet3!A:F,5,0)</f>
        <v>Q. 확률분포</v>
      </c>
      <c r="H267" s="7" t="str">
        <f>VLOOKUP(B267,Sheet3!A:F,6,0)</f>
        <v>이산확률분포</v>
      </c>
      <c r="I267" s="7" t="str">
        <f>"mun/"&amp;C267&amp;".png"</f>
        <v>mun/20230927.png</v>
      </c>
      <c r="J267" s="7">
        <v>5</v>
      </c>
      <c r="K267" s="7">
        <v>1</v>
      </c>
      <c r="L267" s="6" t="s">
        <v>593</v>
      </c>
    </row>
    <row r="268" spans="1:12" x14ac:dyDescent="0.3">
      <c r="A268" s="7">
        <f>VLOOKUP(B268,Sheet3!A:B,2,0)</f>
        <v>52</v>
      </c>
      <c r="B268" s="6" t="s">
        <v>673</v>
      </c>
      <c r="C268" s="7">
        <v>20241126</v>
      </c>
      <c r="D268" s="7">
        <v>2</v>
      </c>
      <c r="E268" s="7" t="str">
        <f>VLOOKUP(B268,Sheet3!A:F,3,0)</f>
        <v>확률과 통계</v>
      </c>
      <c r="F268" s="7" t="str">
        <f>VLOOKUP(B268,Sheet3!A:F,4,0)</f>
        <v>3. 통계</v>
      </c>
      <c r="G268" s="7" t="str">
        <f>VLOOKUP(B268,Sheet3!A:F,5,0)</f>
        <v>Q. 확률분포</v>
      </c>
      <c r="H268" s="7" t="str">
        <f>VLOOKUP(B268,Sheet3!A:F,6,0)</f>
        <v>이산확률분포</v>
      </c>
      <c r="I268" s="7" t="str">
        <f>"mun/"&amp;C268&amp;".png"</f>
        <v>mun/20241126.png</v>
      </c>
      <c r="J268" s="7">
        <v>2</v>
      </c>
      <c r="K268" s="7">
        <v>1</v>
      </c>
      <c r="L268" s="6" t="s">
        <v>613</v>
      </c>
    </row>
    <row r="269" spans="1:12" x14ac:dyDescent="0.3">
      <c r="A269" s="7">
        <f>VLOOKUP(B269,Sheet3!A:B,2,0)</f>
        <v>52</v>
      </c>
      <c r="B269" s="6" t="s">
        <v>673</v>
      </c>
      <c r="C269" s="7">
        <v>20250927</v>
      </c>
      <c r="D269" s="7">
        <v>3</v>
      </c>
      <c r="E269" s="7" t="str">
        <f>VLOOKUP(B269,Sheet3!A:F,3,0)</f>
        <v>확률과 통계</v>
      </c>
      <c r="F269" s="7" t="str">
        <f>VLOOKUP(B269,Sheet3!A:F,4,0)</f>
        <v>3. 통계</v>
      </c>
      <c r="G269" s="7" t="str">
        <f>VLOOKUP(B269,Sheet3!A:F,5,0)</f>
        <v>Q. 확률분포</v>
      </c>
      <c r="H269" s="7" t="str">
        <f>VLOOKUP(B269,Sheet3!A:F,6,0)</f>
        <v>이산확률분포</v>
      </c>
      <c r="I269" s="7" t="str">
        <f>"mun/"&amp;C269&amp;".png"</f>
        <v>mun/20250927.png</v>
      </c>
      <c r="J269" s="7">
        <v>4</v>
      </c>
      <c r="K269" s="7">
        <v>1</v>
      </c>
      <c r="L269" s="8" t="s">
        <v>662</v>
      </c>
    </row>
    <row r="270" spans="1:12" x14ac:dyDescent="0.3">
      <c r="A270" s="7">
        <f>VLOOKUP(B270,Sheet3!A:B,2,0)</f>
        <v>46</v>
      </c>
      <c r="B270" s="6" t="s">
        <v>644</v>
      </c>
      <c r="C270" s="7">
        <v>20241129</v>
      </c>
      <c r="D270" s="7">
        <v>4</v>
      </c>
      <c r="E270" s="7" t="str">
        <f>VLOOKUP(B270,Sheet3!A:F,3,0)</f>
        <v>확률과 통계</v>
      </c>
      <c r="F270" s="7" t="str">
        <f>VLOOKUP(B270,Sheet3!A:F,4,0)</f>
        <v>1. 경우의 수</v>
      </c>
      <c r="G270" s="7" t="str">
        <f>VLOOKUP(B270,Sheet3!A:F,5,0)</f>
        <v>M. 여러 가지 순열과 중복 조합</v>
      </c>
      <c r="H270" s="7" t="str">
        <f>VLOOKUP(B270,Sheet3!A:F,6,0)</f>
        <v>중복 조합</v>
      </c>
      <c r="I270" s="7" t="str">
        <f>"mun/"&amp;C270&amp;".png"</f>
        <v>mun/20241129.png</v>
      </c>
      <c r="J270" s="7">
        <v>196</v>
      </c>
      <c r="K270" s="7">
        <v>1</v>
      </c>
      <c r="L270" s="6" t="s">
        <v>616</v>
      </c>
    </row>
    <row r="271" spans="1:12" x14ac:dyDescent="0.3">
      <c r="A271" s="7">
        <f>VLOOKUP(B271,Sheet3!A:B,2,0)</f>
        <v>53</v>
      </c>
      <c r="B271" s="6" t="s">
        <v>674</v>
      </c>
      <c r="C271" s="7">
        <v>20220923</v>
      </c>
      <c r="D271" s="7">
        <v>1</v>
      </c>
      <c r="E271" s="7" t="str">
        <f>VLOOKUP(B271,Sheet3!A:F,3,0)</f>
        <v>확률과 통계</v>
      </c>
      <c r="F271" s="7" t="str">
        <f>VLOOKUP(B271,Sheet3!A:F,4,0)</f>
        <v>3. 통계</v>
      </c>
      <c r="G271" s="7" t="str">
        <f>VLOOKUP(B271,Sheet3!A:F,5,0)</f>
        <v>Q. 확률분포</v>
      </c>
      <c r="H271" s="7" t="str">
        <f>VLOOKUP(B271,Sheet3!A:F,6,0)</f>
        <v>이항분포</v>
      </c>
      <c r="I271" s="7" t="str">
        <f>"mun/"&amp;C271&amp;".png"</f>
        <v>mun/20220923.png</v>
      </c>
      <c r="J271" s="7">
        <v>3</v>
      </c>
      <c r="K271" s="7">
        <v>1</v>
      </c>
      <c r="L271" s="6" t="s">
        <v>567</v>
      </c>
    </row>
    <row r="272" spans="1:12" x14ac:dyDescent="0.3">
      <c r="A272" s="7">
        <f>VLOOKUP(B272,Sheet3!A:B,2,0)</f>
        <v>2</v>
      </c>
      <c r="B272" s="6" t="s">
        <v>495</v>
      </c>
      <c r="C272" s="7">
        <v>20250601</v>
      </c>
      <c r="D272" s="7">
        <v>1</v>
      </c>
      <c r="E272" s="7" t="str">
        <f>VLOOKUP(B272,Sheet3!A:F,3,0)</f>
        <v>수학Ⅰ</v>
      </c>
      <c r="F272" s="7" t="str">
        <f>VLOOKUP(B272,Sheet3!A:F,4,0)</f>
        <v>1. 지수함수와 로그함수</v>
      </c>
      <c r="G272" s="7" t="str">
        <f>VLOOKUP(B272,Sheet3!A:F,5,0)</f>
        <v>A. 지수와 로그</v>
      </c>
      <c r="H272" s="7" t="str">
        <f>VLOOKUP(B272,Sheet3!A:F,6,0)</f>
        <v>지수의 연산</v>
      </c>
      <c r="I272" s="7" t="str">
        <f>"mun/"&amp;C272&amp;".png"</f>
        <v>mun/20250601.png</v>
      </c>
      <c r="J272" s="7">
        <v>4</v>
      </c>
      <c r="K272" s="7">
        <v>1</v>
      </c>
      <c r="L272" s="8" t="s">
        <v>259</v>
      </c>
    </row>
    <row r="273" spans="1:12" x14ac:dyDescent="0.3">
      <c r="A273" s="7">
        <f>VLOOKUP(B273,Sheet3!A:B,2,0)</f>
        <v>28</v>
      </c>
      <c r="B273" s="6" t="s">
        <v>519</v>
      </c>
      <c r="C273" s="7">
        <v>20250602</v>
      </c>
      <c r="D273" s="7">
        <v>1</v>
      </c>
      <c r="E273" s="7" t="str">
        <f>VLOOKUP(B273,Sheet3!A:F,3,0)</f>
        <v>수학Ⅱ</v>
      </c>
      <c r="F273" s="7" t="str">
        <f>VLOOKUP(B273,Sheet3!A:F,4,0)</f>
        <v>2. 미분</v>
      </c>
      <c r="G273" s="7" t="str">
        <f>VLOOKUP(B273,Sheet3!A:F,5,0)</f>
        <v>I. 도함수</v>
      </c>
      <c r="H273" s="7" t="str">
        <f>VLOOKUP(B273,Sheet3!A:F,6,0)</f>
        <v>미분계수와 도함수</v>
      </c>
      <c r="I273" s="7" t="str">
        <f>"mun/"&amp;C273&amp;".png"</f>
        <v>mun/20250602.png</v>
      </c>
      <c r="J273" s="7">
        <v>5</v>
      </c>
      <c r="K273" s="7">
        <v>1</v>
      </c>
      <c r="L273" s="6" t="s">
        <v>260</v>
      </c>
    </row>
    <row r="274" spans="1:12" x14ac:dyDescent="0.3">
      <c r="A274" s="7">
        <f>VLOOKUP(B274,Sheet3!A:B,2,0)</f>
        <v>18</v>
      </c>
      <c r="B274" s="6" t="s">
        <v>511</v>
      </c>
      <c r="C274" s="7">
        <v>20250603</v>
      </c>
      <c r="D274" s="7">
        <v>1</v>
      </c>
      <c r="E274" s="7" t="str">
        <f>VLOOKUP(B274,Sheet3!A:F,3,0)</f>
        <v>수학Ⅰ</v>
      </c>
      <c r="F274" s="7" t="str">
        <f>VLOOKUP(B274,Sheet3!A:F,4,0)</f>
        <v>3. 수열</v>
      </c>
      <c r="G274" s="7" t="str">
        <f>VLOOKUP(B274,Sheet3!A:F,5,0)</f>
        <v>E. 수열의 합</v>
      </c>
      <c r="H274" s="7" t="str">
        <f>VLOOKUP(B274,Sheet3!A:F,6,0)</f>
        <v>시그마의 뜻과 성질</v>
      </c>
      <c r="I274" s="7" t="str">
        <f>"mun/"&amp;C274&amp;".png"</f>
        <v>mun/20250603.png</v>
      </c>
      <c r="J274" s="7">
        <v>3</v>
      </c>
      <c r="K274" s="7">
        <v>1</v>
      </c>
      <c r="L274" s="6" t="s">
        <v>261</v>
      </c>
    </row>
    <row r="275" spans="1:12" x14ac:dyDescent="0.3">
      <c r="A275" s="7">
        <f>VLOOKUP(B275,Sheet3!A:B,2,0)</f>
        <v>23</v>
      </c>
      <c r="B275" s="6" t="s">
        <v>515</v>
      </c>
      <c r="C275" s="7">
        <v>20250604</v>
      </c>
      <c r="D275" s="7">
        <v>2</v>
      </c>
      <c r="E275" s="7" t="str">
        <f>VLOOKUP(B275,Sheet3!A:F,3,0)</f>
        <v>수학Ⅱ</v>
      </c>
      <c r="F275" s="7" t="str">
        <f>VLOOKUP(B275,Sheet3!A:F,4,0)</f>
        <v>1. 함수의 극한과 연속</v>
      </c>
      <c r="G275" s="7" t="str">
        <f>VLOOKUP(B275,Sheet3!A:F,5,0)</f>
        <v>G. 함수의 극한</v>
      </c>
      <c r="H275" s="7" t="str">
        <f>VLOOKUP(B275,Sheet3!A:F,6,0)</f>
        <v>함수의 극한</v>
      </c>
      <c r="I275" s="7" t="str">
        <f>"mun/"&amp;C275&amp;".png"</f>
        <v>mun/20250604.png</v>
      </c>
      <c r="J275" s="7">
        <v>3</v>
      </c>
      <c r="K275" s="7">
        <v>1</v>
      </c>
      <c r="L275" s="6" t="s">
        <v>262</v>
      </c>
    </row>
    <row r="276" spans="1:12" x14ac:dyDescent="0.3">
      <c r="A276" s="7">
        <f>VLOOKUP(B276,Sheet3!A:B,2,0)</f>
        <v>29</v>
      </c>
      <c r="B276" s="6" t="s">
        <v>520</v>
      </c>
      <c r="C276" s="7">
        <v>20250605</v>
      </c>
      <c r="D276" s="7">
        <v>2</v>
      </c>
      <c r="E276" s="7" t="str">
        <f>VLOOKUP(B276,Sheet3!A:F,3,0)</f>
        <v>수학Ⅱ</v>
      </c>
      <c r="F276" s="7" t="str">
        <f>VLOOKUP(B276,Sheet3!A:F,4,0)</f>
        <v>2. 미분</v>
      </c>
      <c r="G276" s="7" t="str">
        <f>VLOOKUP(B276,Sheet3!A:F,5,0)</f>
        <v>I. 도함수</v>
      </c>
      <c r="H276" s="7" t="str">
        <f>VLOOKUP(B276,Sheet3!A:F,6,0)</f>
        <v>곱함수의 미분법</v>
      </c>
      <c r="I276" s="7" t="str">
        <f>"mun/"&amp;C276&amp;".png"</f>
        <v>mun/20250605.png</v>
      </c>
      <c r="J276" s="7">
        <v>5</v>
      </c>
      <c r="K276" s="7">
        <v>1</v>
      </c>
      <c r="L276" s="6" t="s">
        <v>263</v>
      </c>
    </row>
    <row r="277" spans="1:12" x14ac:dyDescent="0.3">
      <c r="A277" s="7">
        <f>VLOOKUP(B277,Sheet3!A:B,2,0)</f>
        <v>12</v>
      </c>
      <c r="B277" s="6" t="s">
        <v>505</v>
      </c>
      <c r="C277" s="7">
        <v>20250606</v>
      </c>
      <c r="D277" s="7">
        <v>2</v>
      </c>
      <c r="E277" s="7" t="str">
        <f>VLOOKUP(B277,Sheet3!A:F,3,0)</f>
        <v>수학Ⅰ</v>
      </c>
      <c r="F277" s="7" t="str">
        <f>VLOOKUP(B277,Sheet3!A:F,4,0)</f>
        <v>2. 삼각함수</v>
      </c>
      <c r="G277" s="7" t="str">
        <f>VLOOKUP(B277,Sheet3!A:F,5,0)</f>
        <v>C. 삼각함수</v>
      </c>
      <c r="H277" s="7" t="str">
        <f>VLOOKUP(B277,Sheet3!A:F,6,0)</f>
        <v>삼각함수의 값</v>
      </c>
      <c r="I277" s="7" t="str">
        <f>"mun/"&amp;C277&amp;".png"</f>
        <v>mun/20250606.png</v>
      </c>
      <c r="J277" s="7">
        <v>1</v>
      </c>
      <c r="K277" s="7">
        <v>1</v>
      </c>
      <c r="L277" s="6" t="s">
        <v>264</v>
      </c>
    </row>
    <row r="278" spans="1:12" x14ac:dyDescent="0.3">
      <c r="A278" s="7">
        <f>VLOOKUP(B278,Sheet3!A:B,2,0)</f>
        <v>32</v>
      </c>
      <c r="B278" s="6" t="s">
        <v>523</v>
      </c>
      <c r="C278" s="7">
        <v>20250607</v>
      </c>
      <c r="D278" s="7">
        <v>2</v>
      </c>
      <c r="E278" s="7" t="str">
        <f>VLOOKUP(B278,Sheet3!A:F,3,0)</f>
        <v>수학Ⅱ</v>
      </c>
      <c r="F278" s="7" t="str">
        <f>VLOOKUP(B278,Sheet3!A:F,4,0)</f>
        <v>2. 미분</v>
      </c>
      <c r="G278" s="7" t="str">
        <f>VLOOKUP(B278,Sheet3!A:F,5,0)</f>
        <v>J. 도함수의 활용</v>
      </c>
      <c r="H278" s="7" t="str">
        <f>VLOOKUP(B278,Sheet3!A:F,6,0)</f>
        <v>방정식과 부등식에의 활용</v>
      </c>
      <c r="I278" s="7" t="str">
        <f>"mun/"&amp;C278&amp;".png"</f>
        <v>mun/20250607.png</v>
      </c>
      <c r="J278" s="7">
        <v>4</v>
      </c>
      <c r="K278" s="7">
        <v>1</v>
      </c>
      <c r="L278" s="6" t="s">
        <v>265</v>
      </c>
    </row>
    <row r="279" spans="1:12" x14ac:dyDescent="0.3">
      <c r="A279" s="7">
        <f>VLOOKUP(B279,Sheet3!A:B,2,0)</f>
        <v>17</v>
      </c>
      <c r="B279" s="6" t="s">
        <v>510</v>
      </c>
      <c r="C279" s="7">
        <v>20250608</v>
      </c>
      <c r="D279" s="7">
        <v>2</v>
      </c>
      <c r="E279" s="7" t="str">
        <f>VLOOKUP(B279,Sheet3!A:F,3,0)</f>
        <v>수학Ⅰ</v>
      </c>
      <c r="F279" s="7" t="str">
        <f>VLOOKUP(B279,Sheet3!A:F,4,0)</f>
        <v>3. 수열</v>
      </c>
      <c r="G279" s="7" t="str">
        <f>VLOOKUP(B279,Sheet3!A:F,5,0)</f>
        <v>D. 등차수열과 등비수열</v>
      </c>
      <c r="H279" s="7" t="str">
        <f>VLOOKUP(B279,Sheet3!A:F,6,0)</f>
        <v>등비수열</v>
      </c>
      <c r="I279" s="7" t="str">
        <f>"mun/"&amp;C279&amp;".png"</f>
        <v>mun/20250608.png</v>
      </c>
      <c r="J279" s="7">
        <v>1</v>
      </c>
      <c r="K279" s="7">
        <v>1</v>
      </c>
      <c r="L279" s="6" t="s">
        <v>266</v>
      </c>
    </row>
    <row r="280" spans="1:12" x14ac:dyDescent="0.3">
      <c r="A280" s="7">
        <f>VLOOKUP(B280,Sheet3!A:B,2,0)</f>
        <v>25</v>
      </c>
      <c r="B280" s="6" t="s">
        <v>517</v>
      </c>
      <c r="C280" s="7">
        <v>20250609</v>
      </c>
      <c r="D280" s="7">
        <v>3</v>
      </c>
      <c r="E280" s="7" t="str">
        <f>VLOOKUP(B280,Sheet3!A:F,3,0)</f>
        <v>수학Ⅱ</v>
      </c>
      <c r="F280" s="7" t="str">
        <f>VLOOKUP(B280,Sheet3!A:F,4,0)</f>
        <v>1. 함수의 극한과 연속</v>
      </c>
      <c r="G280" s="7" t="str">
        <f>VLOOKUP(B280,Sheet3!A:F,5,0)</f>
        <v>H. 함수의 연속</v>
      </c>
      <c r="H280" s="7" t="str">
        <f>VLOOKUP(B280,Sheet3!A:F,6,0)</f>
        <v>함수의 연속</v>
      </c>
      <c r="I280" s="7" t="str">
        <f>"mun/"&amp;C280&amp;".png"</f>
        <v>mun/20250609.png</v>
      </c>
      <c r="J280" s="7">
        <v>3</v>
      </c>
      <c r="K280" s="7">
        <v>1</v>
      </c>
      <c r="L280" s="6" t="s">
        <v>267</v>
      </c>
    </row>
    <row r="281" spans="1:12" x14ac:dyDescent="0.3">
      <c r="A281" s="7">
        <f>VLOOKUP(B281,Sheet3!A:B,2,0)</f>
        <v>15</v>
      </c>
      <c r="B281" s="6" t="s">
        <v>508</v>
      </c>
      <c r="C281" s="7">
        <v>20250610</v>
      </c>
      <c r="D281" s="7">
        <v>3</v>
      </c>
      <c r="E281" s="7" t="str">
        <f>VLOOKUP(B281,Sheet3!A:F,3,0)</f>
        <v>수학Ⅰ</v>
      </c>
      <c r="F281" s="7" t="str">
        <f>VLOOKUP(B281,Sheet3!A:F,4,0)</f>
        <v>2. 삼각함수</v>
      </c>
      <c r="G281" s="7" t="str">
        <f>VLOOKUP(B281,Sheet3!A:F,5,0)</f>
        <v>C. 삼각함수</v>
      </c>
      <c r="H281" s="7" t="str">
        <f>VLOOKUP(B281,Sheet3!A:F,6,0)</f>
        <v>사인법칙과 코사인법칙</v>
      </c>
      <c r="I281" s="7" t="str">
        <f>"mun/"&amp;C281&amp;".png"</f>
        <v>mun/20250610.png</v>
      </c>
      <c r="J281" s="7">
        <v>5</v>
      </c>
      <c r="K281" s="7">
        <v>1</v>
      </c>
      <c r="L281" s="6" t="s">
        <v>268</v>
      </c>
    </row>
    <row r="282" spans="1:12" x14ac:dyDescent="0.3">
      <c r="A282" s="7">
        <f>VLOOKUP(B282,Sheet3!A:B,2,0)</f>
        <v>31</v>
      </c>
      <c r="B282" s="6" t="s">
        <v>522</v>
      </c>
      <c r="C282" s="7">
        <v>20250611</v>
      </c>
      <c r="D282" s="7">
        <v>3</v>
      </c>
      <c r="E282" s="7" t="str">
        <f>VLOOKUP(B282,Sheet3!A:F,3,0)</f>
        <v>수학Ⅱ</v>
      </c>
      <c r="F282" s="7" t="str">
        <f>VLOOKUP(B282,Sheet3!A:F,4,0)</f>
        <v>2. 미분</v>
      </c>
      <c r="G282" s="7" t="str">
        <f>VLOOKUP(B282,Sheet3!A:F,5,0)</f>
        <v>J. 도함수의 활용</v>
      </c>
      <c r="H282" s="7" t="str">
        <f>VLOOKUP(B282,Sheet3!A:F,6,0)</f>
        <v>접선의 방정식</v>
      </c>
      <c r="I282" s="7" t="str">
        <f>"mun/"&amp;C282&amp;".png"</f>
        <v>mun/20250611.png</v>
      </c>
      <c r="J282" s="7">
        <v>5</v>
      </c>
      <c r="K282" s="7">
        <v>1</v>
      </c>
      <c r="L282" s="6" t="s">
        <v>269</v>
      </c>
    </row>
    <row r="283" spans="1:12" x14ac:dyDescent="0.3">
      <c r="A283" s="7">
        <f>VLOOKUP(B283,Sheet3!A:B,2,0)</f>
        <v>10</v>
      </c>
      <c r="B283" s="6" t="s">
        <v>503</v>
      </c>
      <c r="C283" s="7">
        <v>20250612</v>
      </c>
      <c r="D283" s="7">
        <v>4</v>
      </c>
      <c r="E283" s="7" t="str">
        <f>VLOOKUP(B283,Sheet3!A:F,3,0)</f>
        <v>수학Ⅰ</v>
      </c>
      <c r="F283" s="7" t="str">
        <f>VLOOKUP(B283,Sheet3!A:F,4,0)</f>
        <v>1. 지수함수와 로그함수</v>
      </c>
      <c r="G283" s="7" t="str">
        <f>VLOOKUP(B283,Sheet3!A:F,5,0)</f>
        <v>B. 지수함수와 로그함수</v>
      </c>
      <c r="H283" s="7" t="str">
        <f>VLOOKUP(B283,Sheet3!A:F,6,0)</f>
        <v>그래프에서 도형의 성질</v>
      </c>
      <c r="I283" s="7" t="str">
        <f>"mun/"&amp;C283&amp;".png"</f>
        <v>mun/20250612.png</v>
      </c>
      <c r="J283" s="7">
        <v>3</v>
      </c>
      <c r="K283" s="7">
        <v>1</v>
      </c>
      <c r="L283" s="6" t="s">
        <v>270</v>
      </c>
    </row>
    <row r="284" spans="1:12" x14ac:dyDescent="0.3">
      <c r="A284" s="7">
        <f>VLOOKUP(B284,Sheet3!A:B,2,0)</f>
        <v>40</v>
      </c>
      <c r="B284" s="6" t="s">
        <v>531</v>
      </c>
      <c r="C284" s="7">
        <v>20250613</v>
      </c>
      <c r="D284" s="7">
        <v>4</v>
      </c>
      <c r="E284" s="7" t="str">
        <f>VLOOKUP(B284,Sheet3!A:F,3,0)</f>
        <v>수학Ⅱ</v>
      </c>
      <c r="F284" s="7" t="str">
        <f>VLOOKUP(B284,Sheet3!A:F,4,0)</f>
        <v>3. 적분</v>
      </c>
      <c r="G284" s="7" t="str">
        <f>VLOOKUP(B284,Sheet3!A:F,5,0)</f>
        <v>L. 정적분</v>
      </c>
      <c r="H284" s="7" t="str">
        <f>VLOOKUP(B284,Sheet3!A:F,6,0)</f>
        <v>곡선 사이의 넓이</v>
      </c>
      <c r="I284" s="7" t="str">
        <f>"mun/"&amp;C284&amp;".png"</f>
        <v>mun/20250613.png</v>
      </c>
      <c r="J284" s="7">
        <v>3</v>
      </c>
      <c r="K284" s="7">
        <v>1</v>
      </c>
      <c r="L284" s="6" t="s">
        <v>271</v>
      </c>
    </row>
    <row r="285" spans="1:12" x14ac:dyDescent="0.3">
      <c r="A285" s="7">
        <f>VLOOKUP(B285,Sheet3!A:B,2,0)</f>
        <v>6</v>
      </c>
      <c r="B285" s="6" t="s">
        <v>499</v>
      </c>
      <c r="C285" s="7">
        <v>20250614</v>
      </c>
      <c r="D285" s="7">
        <v>4</v>
      </c>
      <c r="E285" s="7" t="str">
        <f>VLOOKUP(B285,Sheet3!A:F,3,0)</f>
        <v>수학Ⅰ</v>
      </c>
      <c r="F285" s="7" t="str">
        <f>VLOOKUP(B285,Sheet3!A:F,4,0)</f>
        <v>1. 지수함수와 로그함수</v>
      </c>
      <c r="G285" s="7" t="str">
        <f>VLOOKUP(B285,Sheet3!A:F,5,0)</f>
        <v>B. 지수함수와 로그함수</v>
      </c>
      <c r="H285" s="7" t="str">
        <f>VLOOKUP(B285,Sheet3!A:F,6,0)</f>
        <v>방정식과 부등식에의 활용</v>
      </c>
      <c r="I285" s="7" t="str">
        <f>"mun/"&amp;C285&amp;".png"</f>
        <v>mun/20250614.png</v>
      </c>
      <c r="J285" s="7">
        <v>4</v>
      </c>
      <c r="K285" s="7">
        <v>1</v>
      </c>
      <c r="L285" s="6" t="s">
        <v>272</v>
      </c>
    </row>
    <row r="286" spans="1:12" x14ac:dyDescent="0.3">
      <c r="A286" s="7">
        <f>VLOOKUP(B286,Sheet3!A:B,2,0)</f>
        <v>35</v>
      </c>
      <c r="B286" s="6" t="s">
        <v>526</v>
      </c>
      <c r="C286" s="7">
        <v>20250615</v>
      </c>
      <c r="D286" s="7">
        <v>5</v>
      </c>
      <c r="E286" s="7" t="str">
        <f>VLOOKUP(B286,Sheet3!A:F,3,0)</f>
        <v>수학Ⅱ</v>
      </c>
      <c r="F286" s="7" t="str">
        <f>VLOOKUP(B286,Sheet3!A:F,4,0)</f>
        <v>2. 미분</v>
      </c>
      <c r="G286" s="7" t="str">
        <f>VLOOKUP(B286,Sheet3!A:F,5,0)</f>
        <v>J. 도함수의 활용</v>
      </c>
      <c r="H286" s="7" t="str">
        <f>VLOOKUP(B286,Sheet3!A:F,6,0)</f>
        <v>함수의 추론</v>
      </c>
      <c r="I286" s="7" t="str">
        <f>"mun/"&amp;C286&amp;".png"</f>
        <v>mun/20250615.png</v>
      </c>
      <c r="J286" s="7">
        <v>2</v>
      </c>
      <c r="K286" s="7">
        <v>1</v>
      </c>
      <c r="L286" s="6" t="s">
        <v>273</v>
      </c>
    </row>
    <row r="287" spans="1:12" x14ac:dyDescent="0.3">
      <c r="A287" s="7">
        <f>VLOOKUP(B287,Sheet3!A:B,2,0)</f>
        <v>6</v>
      </c>
      <c r="B287" s="6" t="s">
        <v>499</v>
      </c>
      <c r="C287" s="7">
        <v>20250616</v>
      </c>
      <c r="D287" s="7">
        <v>1</v>
      </c>
      <c r="E287" s="7" t="str">
        <f>VLOOKUP(B287,Sheet3!A:F,3,0)</f>
        <v>수학Ⅰ</v>
      </c>
      <c r="F287" s="7" t="str">
        <f>VLOOKUP(B287,Sheet3!A:F,4,0)</f>
        <v>1. 지수함수와 로그함수</v>
      </c>
      <c r="G287" s="7" t="str">
        <f>VLOOKUP(B287,Sheet3!A:F,5,0)</f>
        <v>B. 지수함수와 로그함수</v>
      </c>
      <c r="H287" s="7" t="str">
        <f>VLOOKUP(B287,Sheet3!A:F,6,0)</f>
        <v>방정식과 부등식에의 활용</v>
      </c>
      <c r="I287" s="7" t="str">
        <f>"mun/"&amp;C287&amp;".png"</f>
        <v>mun/20250616.png</v>
      </c>
      <c r="J287" s="7">
        <v>7</v>
      </c>
      <c r="K287" s="7">
        <v>1</v>
      </c>
      <c r="L287" s="6" t="s">
        <v>274</v>
      </c>
    </row>
    <row r="288" spans="1:12" x14ac:dyDescent="0.3">
      <c r="A288" s="7">
        <f>VLOOKUP(B288,Sheet3!A:B,2,0)</f>
        <v>37</v>
      </c>
      <c r="B288" s="6" t="s">
        <v>528</v>
      </c>
      <c r="C288" s="7">
        <v>20250617</v>
      </c>
      <c r="D288" s="7">
        <v>1</v>
      </c>
      <c r="E288" s="7" t="str">
        <f>VLOOKUP(B288,Sheet3!A:F,3,0)</f>
        <v>수학Ⅱ</v>
      </c>
      <c r="F288" s="7" t="str">
        <f>VLOOKUP(B288,Sheet3!A:F,4,0)</f>
        <v>3. 적분</v>
      </c>
      <c r="G288" s="7" t="str">
        <f>VLOOKUP(B288,Sheet3!A:F,5,0)</f>
        <v>K. 부정적분</v>
      </c>
      <c r="H288" s="7" t="str">
        <f>VLOOKUP(B288,Sheet3!A:F,6,0)</f>
        <v>부정적분</v>
      </c>
      <c r="I288" s="7" t="str">
        <f>"mun/"&amp;C288&amp;".png"</f>
        <v>mun/20250617.png</v>
      </c>
      <c r="J288" s="7">
        <v>23</v>
      </c>
      <c r="K288" s="7">
        <v>1</v>
      </c>
      <c r="L288" s="6" t="s">
        <v>275</v>
      </c>
    </row>
    <row r="289" spans="1:12" x14ac:dyDescent="0.3">
      <c r="A289" s="7">
        <f>VLOOKUP(B289,Sheet3!A:B,2,0)</f>
        <v>18</v>
      </c>
      <c r="B289" s="6" t="s">
        <v>511</v>
      </c>
      <c r="C289" s="7">
        <v>20250618</v>
      </c>
      <c r="D289" s="7">
        <v>3</v>
      </c>
      <c r="E289" s="7" t="str">
        <f>VLOOKUP(B289,Sheet3!A:F,3,0)</f>
        <v>수학Ⅰ</v>
      </c>
      <c r="F289" s="7" t="str">
        <f>VLOOKUP(B289,Sheet3!A:F,4,0)</f>
        <v>3. 수열</v>
      </c>
      <c r="G289" s="7" t="str">
        <f>VLOOKUP(B289,Sheet3!A:F,5,0)</f>
        <v>E. 수열의 합</v>
      </c>
      <c r="H289" s="7" t="str">
        <f>VLOOKUP(B289,Sheet3!A:F,6,0)</f>
        <v>시그마의 뜻과 성질</v>
      </c>
      <c r="I289" s="7" t="str">
        <f>"mun/"&amp;C289&amp;".png"</f>
        <v>mun/20250618.png</v>
      </c>
      <c r="J289" s="7">
        <v>2</v>
      </c>
      <c r="K289" s="7">
        <v>1</v>
      </c>
      <c r="L289" s="6" t="s">
        <v>276</v>
      </c>
    </row>
    <row r="290" spans="1:12" x14ac:dyDescent="0.3">
      <c r="A290" s="7">
        <f>VLOOKUP(B290,Sheet3!A:B,2,0)</f>
        <v>41</v>
      </c>
      <c r="B290" s="6" t="s">
        <v>532</v>
      </c>
      <c r="C290" s="7">
        <v>20250619</v>
      </c>
      <c r="D290" s="7">
        <v>3</v>
      </c>
      <c r="E290" s="7" t="str">
        <f>VLOOKUP(B290,Sheet3!A:F,3,0)</f>
        <v>수학Ⅱ</v>
      </c>
      <c r="F290" s="7" t="str">
        <f>VLOOKUP(B290,Sheet3!A:F,4,0)</f>
        <v>3. 적분</v>
      </c>
      <c r="G290" s="7" t="str">
        <f>VLOOKUP(B290,Sheet3!A:F,5,0)</f>
        <v>L. 정적분</v>
      </c>
      <c r="H290" s="7" t="str">
        <f>VLOOKUP(B290,Sheet3!A:F,6,0)</f>
        <v>속도와 거리</v>
      </c>
      <c r="I290" s="7" t="str">
        <f>"mun/"&amp;C290&amp;".png"</f>
        <v>mun/20250619.png</v>
      </c>
      <c r="J290" s="7">
        <v>16</v>
      </c>
      <c r="K290" s="7">
        <v>1</v>
      </c>
      <c r="L290" s="6" t="s">
        <v>277</v>
      </c>
    </row>
    <row r="291" spans="1:12" x14ac:dyDescent="0.3">
      <c r="A291" s="7">
        <f>VLOOKUP(B291,Sheet3!A:B,2,0)</f>
        <v>11</v>
      </c>
      <c r="B291" s="6" t="s">
        <v>504</v>
      </c>
      <c r="C291" s="7">
        <v>20250620</v>
      </c>
      <c r="D291" s="7">
        <v>4</v>
      </c>
      <c r="E291" s="7" t="str">
        <f>VLOOKUP(B291,Sheet3!A:F,3,0)</f>
        <v>수학Ⅰ</v>
      </c>
      <c r="F291" s="7" t="str">
        <f>VLOOKUP(B291,Sheet3!A:F,4,0)</f>
        <v>2. 삼각함수</v>
      </c>
      <c r="G291" s="7" t="str">
        <f>VLOOKUP(B291,Sheet3!A:F,5,0)</f>
        <v>C. 삼각함수</v>
      </c>
      <c r="H291" s="7" t="str">
        <f>VLOOKUP(B291,Sheet3!A:F,6,0)</f>
        <v>삼각함수의 그래프</v>
      </c>
      <c r="I291" s="7" t="str">
        <f>"mun/"&amp;C291&amp;".png"</f>
        <v>mun/20250620.png</v>
      </c>
      <c r="J291" s="7">
        <v>24</v>
      </c>
      <c r="K291" s="7">
        <v>1</v>
      </c>
      <c r="L291" s="6" t="s">
        <v>278</v>
      </c>
    </row>
    <row r="292" spans="1:12" x14ac:dyDescent="0.3">
      <c r="A292" s="7">
        <f>VLOOKUP(B292,Sheet3!A:B,2,0)</f>
        <v>35</v>
      </c>
      <c r="B292" s="6" t="s">
        <v>526</v>
      </c>
      <c r="C292" s="7">
        <v>20250621</v>
      </c>
      <c r="D292" s="7">
        <v>4</v>
      </c>
      <c r="E292" s="7" t="str">
        <f>VLOOKUP(B292,Sheet3!A:F,3,0)</f>
        <v>수학Ⅱ</v>
      </c>
      <c r="F292" s="7" t="str">
        <f>VLOOKUP(B292,Sheet3!A:F,4,0)</f>
        <v>2. 미분</v>
      </c>
      <c r="G292" s="7" t="str">
        <f>VLOOKUP(B292,Sheet3!A:F,5,0)</f>
        <v>J. 도함수의 활용</v>
      </c>
      <c r="H292" s="7" t="str">
        <f>VLOOKUP(B292,Sheet3!A:F,6,0)</f>
        <v>함수의 추론</v>
      </c>
      <c r="I292" s="7" t="str">
        <f>"mun/"&amp;C292&amp;".png"</f>
        <v>mun/20250621.png</v>
      </c>
      <c r="J292" s="7">
        <v>15</v>
      </c>
      <c r="K292" s="7">
        <v>1</v>
      </c>
      <c r="L292" s="6" t="s">
        <v>279</v>
      </c>
    </row>
    <row r="293" spans="1:12" x14ac:dyDescent="0.3">
      <c r="A293" s="7">
        <f>VLOOKUP(B293,Sheet3!A:B,2,0)</f>
        <v>21</v>
      </c>
      <c r="B293" s="6" t="s">
        <v>514</v>
      </c>
      <c r="C293" s="7">
        <v>20250622</v>
      </c>
      <c r="D293" s="7">
        <v>5</v>
      </c>
      <c r="E293" s="7" t="str">
        <f>VLOOKUP(B293,Sheet3!A:F,3,0)</f>
        <v>수학Ⅰ</v>
      </c>
      <c r="F293" s="7" t="str">
        <f>VLOOKUP(B293,Sheet3!A:F,4,0)</f>
        <v>3. 수열</v>
      </c>
      <c r="G293" s="7" t="str">
        <f>VLOOKUP(B293,Sheet3!A:F,5,0)</f>
        <v>F. 수학적 귀납법</v>
      </c>
      <c r="H293" s="7" t="str">
        <f>VLOOKUP(B293,Sheet3!A:F,6,0)</f>
        <v>수열의 귀납적 정의</v>
      </c>
      <c r="I293" s="7" t="str">
        <f>"mun/"&amp;C293&amp;".png"</f>
        <v>mun/20250622.png</v>
      </c>
      <c r="J293" s="7">
        <v>231</v>
      </c>
      <c r="K293" s="7">
        <v>1</v>
      </c>
      <c r="L293" s="8" t="s">
        <v>280</v>
      </c>
    </row>
    <row r="294" spans="1:12" x14ac:dyDescent="0.3">
      <c r="A294" s="7">
        <f>VLOOKUP(B294,Sheet3!A:B,2,0)</f>
        <v>45</v>
      </c>
      <c r="B294" s="6" t="s">
        <v>559</v>
      </c>
      <c r="C294" s="7">
        <v>20250623</v>
      </c>
      <c r="D294" s="7">
        <v>1</v>
      </c>
      <c r="E294" s="7" t="str">
        <f>VLOOKUP(B294,Sheet3!A:F,3,0)</f>
        <v>확률과 통계</v>
      </c>
      <c r="F294" s="7" t="str">
        <f>VLOOKUP(B294,Sheet3!A:F,4,0)</f>
        <v>1. 경우의 수</v>
      </c>
      <c r="G294" s="7" t="str">
        <f>VLOOKUP(B294,Sheet3!A:F,5,0)</f>
        <v>M. 여러 가지 순열과 중복 조합</v>
      </c>
      <c r="H294" s="7" t="str">
        <f>VLOOKUP(B294,Sheet3!A:F,6,0)</f>
        <v>같은 것이 있는 순열</v>
      </c>
      <c r="I294" s="7" t="str">
        <f>"mun/"&amp;C294&amp;".png"</f>
        <v>mun/20250623.png</v>
      </c>
      <c r="J294" s="7">
        <v>3</v>
      </c>
      <c r="K294" s="7">
        <v>1</v>
      </c>
      <c r="L294" s="6" t="s">
        <v>618</v>
      </c>
    </row>
    <row r="295" spans="1:12" x14ac:dyDescent="0.3">
      <c r="A295" s="7">
        <f>VLOOKUP(B295,Sheet3!A:B,2,0)</f>
        <v>53</v>
      </c>
      <c r="B295" s="6" t="s">
        <v>674</v>
      </c>
      <c r="C295" s="7">
        <v>20221124</v>
      </c>
      <c r="D295" s="7">
        <v>1</v>
      </c>
      <c r="E295" s="7" t="str">
        <f>VLOOKUP(B295,Sheet3!A:F,3,0)</f>
        <v>확률과 통계</v>
      </c>
      <c r="F295" s="7" t="str">
        <f>VLOOKUP(B295,Sheet3!A:F,4,0)</f>
        <v>3. 통계</v>
      </c>
      <c r="G295" s="7" t="str">
        <f>VLOOKUP(B295,Sheet3!A:F,5,0)</f>
        <v>Q. 확률분포</v>
      </c>
      <c r="H295" s="7" t="str">
        <f>VLOOKUP(B295,Sheet3!A:F,6,0)</f>
        <v>이항분포</v>
      </c>
      <c r="I295" s="7" t="str">
        <f>"mun/"&amp;C295&amp;".png"</f>
        <v>mun/20221124.png</v>
      </c>
      <c r="J295" s="7">
        <v>4</v>
      </c>
      <c r="K295" s="7">
        <v>1</v>
      </c>
      <c r="L295" s="6" t="s">
        <v>576</v>
      </c>
    </row>
    <row r="296" spans="1:12" x14ac:dyDescent="0.3">
      <c r="A296" s="7">
        <f>VLOOKUP(B296,Sheet3!A:B,2,0)</f>
        <v>47</v>
      </c>
      <c r="B296" s="6" t="s">
        <v>555</v>
      </c>
      <c r="C296" s="7">
        <v>20250625</v>
      </c>
      <c r="D296" s="7">
        <v>2</v>
      </c>
      <c r="E296" s="7" t="str">
        <f>VLOOKUP(B296,Sheet3!A:F,3,0)</f>
        <v>확률과 통계</v>
      </c>
      <c r="F296" s="7" t="str">
        <f>VLOOKUP(B296,Sheet3!A:F,4,0)</f>
        <v>1. 경우의 수</v>
      </c>
      <c r="G296" s="7" t="str">
        <f>VLOOKUP(B296,Sheet3!A:F,5,0)</f>
        <v>N. 이항정리와 이항계수</v>
      </c>
      <c r="H296" s="7" t="str">
        <f>VLOOKUP(B296,Sheet3!A:F,6,0)</f>
        <v>전개식의 계수</v>
      </c>
      <c r="I296" s="7" t="str">
        <f>"mun/"&amp;C296&amp;".png"</f>
        <v>mun/20250625.png</v>
      </c>
      <c r="J296" s="7">
        <v>4</v>
      </c>
      <c r="K296" s="7">
        <v>1</v>
      </c>
      <c r="L296" s="6" t="s">
        <v>620</v>
      </c>
    </row>
    <row r="297" spans="1:12" x14ac:dyDescent="0.3">
      <c r="A297" s="7">
        <f>VLOOKUP(B297,Sheet3!A:B,2,0)</f>
        <v>53</v>
      </c>
      <c r="B297" s="6" t="s">
        <v>674</v>
      </c>
      <c r="C297" s="7">
        <v>20240923</v>
      </c>
      <c r="D297" s="7">
        <v>1</v>
      </c>
      <c r="E297" s="7" t="str">
        <f>VLOOKUP(B297,Sheet3!A:F,3,0)</f>
        <v>확률과 통계</v>
      </c>
      <c r="F297" s="7" t="str">
        <f>VLOOKUP(B297,Sheet3!A:F,4,0)</f>
        <v>3. 통계</v>
      </c>
      <c r="G297" s="7" t="str">
        <f>VLOOKUP(B297,Sheet3!A:F,5,0)</f>
        <v>Q. 확률분포</v>
      </c>
      <c r="H297" s="7" t="str">
        <f>VLOOKUP(B297,Sheet3!A:F,6,0)</f>
        <v>이항분포</v>
      </c>
      <c r="I297" s="7" t="str">
        <f>"mun/"&amp;C297&amp;".png"</f>
        <v>mun/20240923.png</v>
      </c>
      <c r="J297" s="7">
        <v>1</v>
      </c>
      <c r="K297" s="7">
        <v>1</v>
      </c>
      <c r="L297" s="6" t="s">
        <v>606</v>
      </c>
    </row>
    <row r="298" spans="1:12" x14ac:dyDescent="0.3">
      <c r="A298" s="7">
        <f>VLOOKUP(B298,Sheet3!A:B,2,0)</f>
        <v>43</v>
      </c>
      <c r="B298" s="6" t="s">
        <v>493</v>
      </c>
      <c r="C298" s="7">
        <v>20250627</v>
      </c>
      <c r="D298" s="7">
        <v>3</v>
      </c>
      <c r="E298" s="7" t="str">
        <f>VLOOKUP(B298,Sheet3!A:F,3,0)</f>
        <v>확률과 통계</v>
      </c>
      <c r="F298" s="7" t="str">
        <f>VLOOKUP(B298,Sheet3!A:F,4,0)</f>
        <v>1. 경우의 수</v>
      </c>
      <c r="G298" s="7" t="str">
        <f>VLOOKUP(B298,Sheet3!A:F,5,0)</f>
        <v>M. 여러 가지 순열과 중복 조합</v>
      </c>
      <c r="H298" s="7" t="str">
        <f>VLOOKUP(B298,Sheet3!A:F,6,0)</f>
        <v>원순열</v>
      </c>
      <c r="I298" s="7" t="str">
        <f>"mun/"&amp;C298&amp;".png"</f>
        <v>mun/20250627.png</v>
      </c>
      <c r="J298" s="7">
        <v>1</v>
      </c>
      <c r="K298" s="7">
        <v>1</v>
      </c>
      <c r="L298" s="6" t="s">
        <v>622</v>
      </c>
    </row>
    <row r="299" spans="1:12" x14ac:dyDescent="0.3">
      <c r="A299" s="7">
        <f>VLOOKUP(B299,Sheet3!A:B,2,0)</f>
        <v>56</v>
      </c>
      <c r="B299" s="6" t="s">
        <v>675</v>
      </c>
      <c r="C299" s="7">
        <v>20250929</v>
      </c>
      <c r="D299" s="7">
        <v>4</v>
      </c>
      <c r="E299" s="7" t="str">
        <f>VLOOKUP(B299,Sheet3!A:F,3,0)</f>
        <v>확률과 통계</v>
      </c>
      <c r="F299" s="7" t="str">
        <f>VLOOKUP(B299,Sheet3!A:F,4,0)</f>
        <v>3. 통계</v>
      </c>
      <c r="G299" s="7" t="str">
        <f>VLOOKUP(B299,Sheet3!A:F,5,0)</f>
        <v>Q. 확률분포</v>
      </c>
      <c r="H299" s="7" t="str">
        <f>VLOOKUP(B299,Sheet3!A:F,6,0)</f>
        <v>이항분포와 정규분포의 관계</v>
      </c>
      <c r="I299" s="7" t="str">
        <f>"mun/"&amp;C299&amp;".png"</f>
        <v>mun/20250929.png</v>
      </c>
      <c r="J299" s="7">
        <v>994</v>
      </c>
      <c r="K299" s="7">
        <v>1</v>
      </c>
      <c r="L299" s="8" t="s">
        <v>663</v>
      </c>
    </row>
    <row r="300" spans="1:12" x14ac:dyDescent="0.3">
      <c r="A300" s="7">
        <f>VLOOKUP(B300,Sheet3!A:B,2,0)</f>
        <v>55</v>
      </c>
      <c r="B300" s="6" t="s">
        <v>676</v>
      </c>
      <c r="C300" s="7">
        <v>20230925</v>
      </c>
      <c r="D300" s="7">
        <v>2</v>
      </c>
      <c r="E300" s="7" t="str">
        <f>VLOOKUP(B300,Sheet3!A:F,3,0)</f>
        <v>확률과 통계</v>
      </c>
      <c r="F300" s="7" t="str">
        <f>VLOOKUP(B300,Sheet3!A:F,4,0)</f>
        <v>3. 통계</v>
      </c>
      <c r="G300" s="7" t="str">
        <f>VLOOKUP(B300,Sheet3!A:F,5,0)</f>
        <v>Q. 확률분포</v>
      </c>
      <c r="H300" s="7" t="str">
        <f>VLOOKUP(B300,Sheet3!A:F,6,0)</f>
        <v>정규분포</v>
      </c>
      <c r="I300" s="7" t="str">
        <f>"mun/"&amp;C300&amp;".png"</f>
        <v>mun/20230925.png</v>
      </c>
      <c r="J300" s="7">
        <v>4</v>
      </c>
      <c r="K300" s="7">
        <v>1</v>
      </c>
      <c r="L300" s="6" t="s">
        <v>591</v>
      </c>
    </row>
    <row r="301" spans="1:12" x14ac:dyDescent="0.3">
      <c r="A301" s="7">
        <f>VLOOKUP(B301,Sheet3!A:B,2,0)</f>
        <v>46</v>
      </c>
      <c r="B301" s="6" t="s">
        <v>644</v>
      </c>
      <c r="C301" s="7">
        <v>20250630</v>
      </c>
      <c r="D301" s="7">
        <v>5</v>
      </c>
      <c r="E301" s="7" t="str">
        <f>VLOOKUP(B301,Sheet3!A:F,3,0)</f>
        <v>확률과 통계</v>
      </c>
      <c r="F301" s="7" t="str">
        <f>VLOOKUP(B301,Sheet3!A:F,4,0)</f>
        <v>1. 경우의 수</v>
      </c>
      <c r="G301" s="7" t="str">
        <f>VLOOKUP(B301,Sheet3!A:F,5,0)</f>
        <v>M. 여러 가지 순열과 중복 조합</v>
      </c>
      <c r="H301" s="7" t="str">
        <f>VLOOKUP(B301,Sheet3!A:F,6,0)</f>
        <v>중복 조합</v>
      </c>
      <c r="I301" s="7" t="str">
        <f>"mun/"&amp;C301&amp;".png"</f>
        <v>mun/20250630.png</v>
      </c>
      <c r="J301" s="7">
        <v>108</v>
      </c>
      <c r="K301" s="7">
        <v>1</v>
      </c>
      <c r="L301" s="8" t="s">
        <v>661</v>
      </c>
    </row>
    <row r="302" spans="1:12" x14ac:dyDescent="0.3">
      <c r="A302" s="7">
        <f>VLOOKUP(B302,Sheet3!A:B,2,0)</f>
        <v>2</v>
      </c>
      <c r="B302" s="6" t="s">
        <v>495</v>
      </c>
      <c r="C302" s="7">
        <v>20250901</v>
      </c>
      <c r="D302" s="7">
        <v>1</v>
      </c>
      <c r="E302" s="7" t="str">
        <f>VLOOKUP(B302,Sheet3!A:F,3,0)</f>
        <v>수학Ⅰ</v>
      </c>
      <c r="F302" s="7" t="str">
        <f>VLOOKUP(B302,Sheet3!A:F,4,0)</f>
        <v>1. 지수함수와 로그함수</v>
      </c>
      <c r="G302" s="7" t="str">
        <f>VLOOKUP(B302,Sheet3!A:F,5,0)</f>
        <v>A. 지수와 로그</v>
      </c>
      <c r="H302" s="7" t="str">
        <f>VLOOKUP(B302,Sheet3!A:F,6,0)</f>
        <v>지수의 연산</v>
      </c>
      <c r="I302" s="7" t="str">
        <f>"mun/"&amp;C302&amp;".png"</f>
        <v>mun/20250901.png</v>
      </c>
      <c r="J302" s="7">
        <v>2</v>
      </c>
      <c r="K302" s="7">
        <v>1</v>
      </c>
      <c r="L302" s="8" t="s">
        <v>237</v>
      </c>
    </row>
    <row r="303" spans="1:12" x14ac:dyDescent="0.3">
      <c r="A303" s="7">
        <f>VLOOKUP(B303,Sheet3!A:B,2,0)</f>
        <v>28</v>
      </c>
      <c r="B303" s="6" t="s">
        <v>519</v>
      </c>
      <c r="C303" s="7">
        <v>20250902</v>
      </c>
      <c r="D303" s="7">
        <v>1</v>
      </c>
      <c r="E303" s="7" t="str">
        <f>VLOOKUP(B303,Sheet3!A:F,3,0)</f>
        <v>수학Ⅱ</v>
      </c>
      <c r="F303" s="7" t="str">
        <f>VLOOKUP(B303,Sheet3!A:F,4,0)</f>
        <v>2. 미분</v>
      </c>
      <c r="G303" s="7" t="str">
        <f>VLOOKUP(B303,Sheet3!A:F,5,0)</f>
        <v>I. 도함수</v>
      </c>
      <c r="H303" s="7" t="str">
        <f>VLOOKUP(B303,Sheet3!A:F,6,0)</f>
        <v>미분계수와 도함수</v>
      </c>
      <c r="I303" s="7" t="str">
        <f>"mun/"&amp;C303&amp;".png"</f>
        <v>mun/20250902.png</v>
      </c>
      <c r="J303" s="7">
        <v>5</v>
      </c>
      <c r="K303" s="7">
        <v>1</v>
      </c>
      <c r="L303" s="8" t="s">
        <v>238</v>
      </c>
    </row>
    <row r="304" spans="1:12" x14ac:dyDescent="0.3">
      <c r="A304" s="7">
        <f>VLOOKUP(B304,Sheet3!A:B,2,0)</f>
        <v>17</v>
      </c>
      <c r="B304" s="6" t="s">
        <v>510</v>
      </c>
      <c r="C304" s="7">
        <v>20250903</v>
      </c>
      <c r="D304" s="7">
        <v>1</v>
      </c>
      <c r="E304" s="7" t="str">
        <f>VLOOKUP(B304,Sheet3!A:F,3,0)</f>
        <v>수학Ⅰ</v>
      </c>
      <c r="F304" s="7" t="str">
        <f>VLOOKUP(B304,Sheet3!A:F,4,0)</f>
        <v>3. 수열</v>
      </c>
      <c r="G304" s="7" t="str">
        <f>VLOOKUP(B304,Sheet3!A:F,5,0)</f>
        <v>D. 등차수열과 등비수열</v>
      </c>
      <c r="H304" s="7" t="str">
        <f>VLOOKUP(B304,Sheet3!A:F,6,0)</f>
        <v>등비수열</v>
      </c>
      <c r="I304" s="7" t="str">
        <f>"mun/"&amp;C304&amp;".png"</f>
        <v>mun/20250903.png</v>
      </c>
      <c r="J304" s="7">
        <v>4</v>
      </c>
      <c r="K304" s="7">
        <v>1</v>
      </c>
      <c r="L304" s="8" t="s">
        <v>239</v>
      </c>
    </row>
    <row r="305" spans="1:12" x14ac:dyDescent="0.3">
      <c r="A305" s="7">
        <f>VLOOKUP(B305,Sheet3!A:B,2,0)</f>
        <v>23</v>
      </c>
      <c r="B305" s="6" t="s">
        <v>515</v>
      </c>
      <c r="C305" s="7">
        <v>20250904</v>
      </c>
      <c r="D305" s="7">
        <v>2</v>
      </c>
      <c r="E305" s="7" t="str">
        <f>VLOOKUP(B305,Sheet3!A:F,3,0)</f>
        <v>수학Ⅱ</v>
      </c>
      <c r="F305" s="7" t="str">
        <f>VLOOKUP(B305,Sheet3!A:F,4,0)</f>
        <v>1. 함수의 극한과 연속</v>
      </c>
      <c r="G305" s="7" t="str">
        <f>VLOOKUP(B305,Sheet3!A:F,5,0)</f>
        <v>G. 함수의 극한</v>
      </c>
      <c r="H305" s="7" t="str">
        <f>VLOOKUP(B305,Sheet3!A:F,6,0)</f>
        <v>함수의 극한</v>
      </c>
      <c r="I305" s="7" t="str">
        <f>"mun/"&amp;C305&amp;".png"</f>
        <v>mun/20250904.png</v>
      </c>
      <c r="J305" s="7">
        <v>2</v>
      </c>
      <c r="K305" s="7">
        <v>1</v>
      </c>
      <c r="L305" s="8" t="s">
        <v>240</v>
      </c>
    </row>
    <row r="306" spans="1:12" x14ac:dyDescent="0.3">
      <c r="A306" s="7">
        <f>VLOOKUP(B306,Sheet3!A:B,2,0)</f>
        <v>29</v>
      </c>
      <c r="B306" s="6" t="s">
        <v>520</v>
      </c>
      <c r="C306" s="7">
        <v>20250905</v>
      </c>
      <c r="D306" s="7">
        <v>2</v>
      </c>
      <c r="E306" s="7" t="str">
        <f>VLOOKUP(B306,Sheet3!A:F,3,0)</f>
        <v>수학Ⅱ</v>
      </c>
      <c r="F306" s="7" t="str">
        <f>VLOOKUP(B306,Sheet3!A:F,4,0)</f>
        <v>2. 미분</v>
      </c>
      <c r="G306" s="7" t="str">
        <f>VLOOKUP(B306,Sheet3!A:F,5,0)</f>
        <v>I. 도함수</v>
      </c>
      <c r="H306" s="7" t="str">
        <f>VLOOKUP(B306,Sheet3!A:F,6,0)</f>
        <v>곱함수의 미분법</v>
      </c>
      <c r="I306" s="7" t="str">
        <f>"mun/"&amp;C306&amp;".png"</f>
        <v>mun/20250905.png</v>
      </c>
      <c r="J306" s="7">
        <v>2</v>
      </c>
      <c r="K306" s="7">
        <v>1</v>
      </c>
      <c r="L306" s="8" t="s">
        <v>241</v>
      </c>
    </row>
    <row r="307" spans="1:12" x14ac:dyDescent="0.3">
      <c r="A307" s="7">
        <f>VLOOKUP(B307,Sheet3!A:B,2,0)</f>
        <v>12</v>
      </c>
      <c r="B307" s="6" t="s">
        <v>505</v>
      </c>
      <c r="C307" s="7">
        <v>20250906</v>
      </c>
      <c r="D307" s="7">
        <v>2</v>
      </c>
      <c r="E307" s="7" t="str">
        <f>VLOOKUP(B307,Sheet3!A:F,3,0)</f>
        <v>수학Ⅰ</v>
      </c>
      <c r="F307" s="7" t="str">
        <f>VLOOKUP(B307,Sheet3!A:F,4,0)</f>
        <v>2. 삼각함수</v>
      </c>
      <c r="G307" s="7" t="str">
        <f>VLOOKUP(B307,Sheet3!A:F,5,0)</f>
        <v>C. 삼각함수</v>
      </c>
      <c r="H307" s="7" t="str">
        <f>VLOOKUP(B307,Sheet3!A:F,6,0)</f>
        <v>삼각함수의 값</v>
      </c>
      <c r="I307" s="7" t="str">
        <f>"mun/"&amp;C307&amp;".png"</f>
        <v>mun/20250906.png</v>
      </c>
      <c r="J307" s="7">
        <v>2</v>
      </c>
      <c r="K307" s="7">
        <v>1</v>
      </c>
      <c r="L307" s="8" t="s">
        <v>242</v>
      </c>
    </row>
    <row r="308" spans="1:12" x14ac:dyDescent="0.3">
      <c r="A308" s="7">
        <f>VLOOKUP(B308,Sheet3!A:B,2,0)</f>
        <v>25</v>
      </c>
      <c r="B308" s="6" t="s">
        <v>517</v>
      </c>
      <c r="C308" s="7">
        <v>20250907</v>
      </c>
      <c r="D308" s="7">
        <v>2</v>
      </c>
      <c r="E308" s="7" t="str">
        <f>VLOOKUP(B308,Sheet3!A:F,3,0)</f>
        <v>수학Ⅱ</v>
      </c>
      <c r="F308" s="7" t="str">
        <f>VLOOKUP(B308,Sheet3!A:F,4,0)</f>
        <v>1. 함수의 극한과 연속</v>
      </c>
      <c r="G308" s="7" t="str">
        <f>VLOOKUP(B308,Sheet3!A:F,5,0)</f>
        <v>H. 함수의 연속</v>
      </c>
      <c r="H308" s="7" t="str">
        <f>VLOOKUP(B308,Sheet3!A:F,6,0)</f>
        <v>함수의 연속</v>
      </c>
      <c r="I308" s="7" t="str">
        <f>"mun/"&amp;C308&amp;".png"</f>
        <v>mun/20250907.png</v>
      </c>
      <c r="J308" s="7">
        <v>3</v>
      </c>
      <c r="K308" s="7">
        <v>1</v>
      </c>
      <c r="L308" s="8" t="s">
        <v>243</v>
      </c>
    </row>
    <row r="309" spans="1:12" x14ac:dyDescent="0.3">
      <c r="A309" s="7">
        <f>VLOOKUP(B309,Sheet3!A:B,2,0)</f>
        <v>3</v>
      </c>
      <c r="B309" s="6" t="s">
        <v>496</v>
      </c>
      <c r="C309" s="7">
        <v>20250908</v>
      </c>
      <c r="D309" s="7">
        <v>2</v>
      </c>
      <c r="E309" s="7" t="str">
        <f>VLOOKUP(B309,Sheet3!A:F,3,0)</f>
        <v>수학Ⅰ</v>
      </c>
      <c r="F309" s="7" t="str">
        <f>VLOOKUP(B309,Sheet3!A:F,4,0)</f>
        <v>1. 지수함수와 로그함수</v>
      </c>
      <c r="G309" s="7" t="str">
        <f>VLOOKUP(B309,Sheet3!A:F,5,0)</f>
        <v>A. 지수와 로그</v>
      </c>
      <c r="H309" s="7" t="str">
        <f>VLOOKUP(B309,Sheet3!A:F,6,0)</f>
        <v>로그의 연산</v>
      </c>
      <c r="I309" s="7" t="str">
        <f>"mun/"&amp;C309&amp;".png"</f>
        <v>mun/20250908.png</v>
      </c>
      <c r="J309" s="7">
        <v>1</v>
      </c>
      <c r="K309" s="7">
        <v>1</v>
      </c>
      <c r="L309" s="8" t="s">
        <v>244</v>
      </c>
    </row>
    <row r="310" spans="1:12" x14ac:dyDescent="0.3">
      <c r="A310" s="7">
        <f>VLOOKUP(B310,Sheet3!A:B,2,0)</f>
        <v>38</v>
      </c>
      <c r="B310" s="6" t="s">
        <v>529</v>
      </c>
      <c r="C310" s="7">
        <v>20250909</v>
      </c>
      <c r="D310" s="7">
        <v>3</v>
      </c>
      <c r="E310" s="7" t="str">
        <f>VLOOKUP(B310,Sheet3!A:F,3,0)</f>
        <v>수학Ⅱ</v>
      </c>
      <c r="F310" s="7" t="str">
        <f>VLOOKUP(B310,Sheet3!A:F,4,0)</f>
        <v>3. 적분</v>
      </c>
      <c r="G310" s="7" t="str">
        <f>VLOOKUP(B310,Sheet3!A:F,5,0)</f>
        <v>L. 정적분</v>
      </c>
      <c r="H310" s="7" t="str">
        <f>VLOOKUP(B310,Sheet3!A:F,6,0)</f>
        <v>정적분</v>
      </c>
      <c r="I310" s="7" t="str">
        <f>"mun/"&amp;C310&amp;".png"</f>
        <v>mun/20250909.png</v>
      </c>
      <c r="J310" s="7">
        <v>5</v>
      </c>
      <c r="K310" s="7">
        <v>1</v>
      </c>
      <c r="L310" s="8" t="s">
        <v>245</v>
      </c>
    </row>
    <row r="311" spans="1:12" x14ac:dyDescent="0.3">
      <c r="A311" s="7">
        <f>VLOOKUP(B311,Sheet3!A:B,2,0)</f>
        <v>15</v>
      </c>
      <c r="B311" s="6" t="s">
        <v>508</v>
      </c>
      <c r="C311" s="7">
        <v>20250910</v>
      </c>
      <c r="D311" s="7">
        <v>3</v>
      </c>
      <c r="E311" s="7" t="str">
        <f>VLOOKUP(B311,Sheet3!A:F,3,0)</f>
        <v>수학Ⅰ</v>
      </c>
      <c r="F311" s="7" t="str">
        <f>VLOOKUP(B311,Sheet3!A:F,4,0)</f>
        <v>2. 삼각함수</v>
      </c>
      <c r="G311" s="7" t="str">
        <f>VLOOKUP(B311,Sheet3!A:F,5,0)</f>
        <v>C. 삼각함수</v>
      </c>
      <c r="H311" s="7" t="str">
        <f>VLOOKUP(B311,Sheet3!A:F,6,0)</f>
        <v>사인법칙과 코사인법칙</v>
      </c>
      <c r="I311" s="7" t="str">
        <f>"mun/"&amp;C311&amp;".png"</f>
        <v>mun/20250910.png</v>
      </c>
      <c r="J311" s="7">
        <v>1</v>
      </c>
      <c r="K311" s="7">
        <v>1</v>
      </c>
      <c r="L311" s="8" t="s">
        <v>246</v>
      </c>
    </row>
    <row r="312" spans="1:12" x14ac:dyDescent="0.3">
      <c r="A312" s="7">
        <f>VLOOKUP(B312,Sheet3!A:B,2,0)</f>
        <v>36</v>
      </c>
      <c r="B312" s="6" t="s">
        <v>527</v>
      </c>
      <c r="C312" s="7">
        <v>20250911</v>
      </c>
      <c r="D312" s="7">
        <v>3</v>
      </c>
      <c r="E312" s="7" t="str">
        <f>VLOOKUP(B312,Sheet3!A:F,3,0)</f>
        <v>수학Ⅱ</v>
      </c>
      <c r="F312" s="7" t="str">
        <f>VLOOKUP(B312,Sheet3!A:F,4,0)</f>
        <v>2. 미분</v>
      </c>
      <c r="G312" s="7" t="str">
        <f>VLOOKUP(B312,Sheet3!A:F,5,0)</f>
        <v>J. 도함수의 활용</v>
      </c>
      <c r="H312" s="7" t="str">
        <f>VLOOKUP(B312,Sheet3!A:F,6,0)</f>
        <v>속도와 가속도</v>
      </c>
      <c r="I312" s="7" t="str">
        <f>"mun/"&amp;C312&amp;".png"</f>
        <v>mun/20250911.png</v>
      </c>
      <c r="J312" s="7">
        <v>1</v>
      </c>
      <c r="K312" s="7">
        <v>1</v>
      </c>
      <c r="L312" s="8" t="s">
        <v>247</v>
      </c>
    </row>
    <row r="313" spans="1:12" x14ac:dyDescent="0.3">
      <c r="A313" s="7">
        <f>VLOOKUP(B313,Sheet3!A:B,2,0)</f>
        <v>20</v>
      </c>
      <c r="B313" s="6" t="s">
        <v>513</v>
      </c>
      <c r="C313" s="7">
        <v>20250912</v>
      </c>
      <c r="D313" s="7">
        <v>4</v>
      </c>
      <c r="E313" s="7" t="str">
        <f>VLOOKUP(B313,Sheet3!A:F,3,0)</f>
        <v>수학Ⅰ</v>
      </c>
      <c r="F313" s="7" t="str">
        <f>VLOOKUP(B313,Sheet3!A:F,4,0)</f>
        <v>3. 수열</v>
      </c>
      <c r="G313" s="7" t="str">
        <f>VLOOKUP(B313,Sheet3!A:F,5,0)</f>
        <v>E. 수열의 합</v>
      </c>
      <c r="H313" s="7" t="str">
        <f>VLOOKUP(B313,Sheet3!A:F,6,0)</f>
        <v>여러 가지 수열의 합</v>
      </c>
      <c r="I313" s="7" t="str">
        <f>"mun/"&amp;C313&amp;".png"</f>
        <v>mun/20250912.png</v>
      </c>
      <c r="J313" s="7">
        <v>2</v>
      </c>
      <c r="K313" s="7">
        <v>1</v>
      </c>
      <c r="L313" s="8" t="s">
        <v>248</v>
      </c>
    </row>
    <row r="314" spans="1:12" x14ac:dyDescent="0.3">
      <c r="A314" s="7">
        <f>VLOOKUP(B314,Sheet3!A:B,2,0)</f>
        <v>40</v>
      </c>
      <c r="B314" s="6" t="s">
        <v>531</v>
      </c>
      <c r="C314" s="7">
        <v>20250913</v>
      </c>
      <c r="D314" s="7">
        <v>4</v>
      </c>
      <c r="E314" s="7" t="str">
        <f>VLOOKUP(B314,Sheet3!A:F,3,0)</f>
        <v>수학Ⅱ</v>
      </c>
      <c r="F314" s="7" t="str">
        <f>VLOOKUP(B314,Sheet3!A:F,4,0)</f>
        <v>3. 적분</v>
      </c>
      <c r="G314" s="7" t="str">
        <f>VLOOKUP(B314,Sheet3!A:F,5,0)</f>
        <v>L. 정적분</v>
      </c>
      <c r="H314" s="7" t="str">
        <f>VLOOKUP(B314,Sheet3!A:F,6,0)</f>
        <v>곡선 사이의 넓이</v>
      </c>
      <c r="I314" s="7" t="str">
        <f>"mun/"&amp;C314&amp;".png"</f>
        <v>mun/20250913.png</v>
      </c>
      <c r="J314" s="7">
        <v>4</v>
      </c>
      <c r="K314" s="7">
        <v>1</v>
      </c>
      <c r="L314" s="8" t="s">
        <v>249</v>
      </c>
    </row>
    <row r="315" spans="1:12" x14ac:dyDescent="0.3">
      <c r="A315" s="7">
        <f>VLOOKUP(B315,Sheet3!A:B,2,0)</f>
        <v>10</v>
      </c>
      <c r="B315" s="6" t="s">
        <v>503</v>
      </c>
      <c r="C315" s="7">
        <v>20250914</v>
      </c>
      <c r="D315" s="7">
        <v>4</v>
      </c>
      <c r="E315" s="7" t="str">
        <f>VLOOKUP(B315,Sheet3!A:F,3,0)</f>
        <v>수학Ⅰ</v>
      </c>
      <c r="F315" s="7" t="str">
        <f>VLOOKUP(B315,Sheet3!A:F,4,0)</f>
        <v>1. 지수함수와 로그함수</v>
      </c>
      <c r="G315" s="7" t="str">
        <f>VLOOKUP(B315,Sheet3!A:F,5,0)</f>
        <v>B. 지수함수와 로그함수</v>
      </c>
      <c r="H315" s="7" t="str">
        <f>VLOOKUP(B315,Sheet3!A:F,6,0)</f>
        <v>그래프에서 도형의 성질</v>
      </c>
      <c r="I315" s="7" t="str">
        <f>"mun/"&amp;C315&amp;".png"</f>
        <v>mun/20250914.png</v>
      </c>
      <c r="J315" s="7">
        <v>5</v>
      </c>
      <c r="K315" s="7">
        <v>1</v>
      </c>
      <c r="L315" s="8" t="s">
        <v>250</v>
      </c>
    </row>
    <row r="316" spans="1:12" x14ac:dyDescent="0.3">
      <c r="A316" s="7">
        <f>VLOOKUP(B316,Sheet3!A:B,2,0)</f>
        <v>39</v>
      </c>
      <c r="B316" s="6" t="s">
        <v>530</v>
      </c>
      <c r="C316" s="7">
        <v>20250915</v>
      </c>
      <c r="D316" s="7">
        <v>5</v>
      </c>
      <c r="E316" s="7" t="str">
        <f>VLOOKUP(B316,Sheet3!A:F,3,0)</f>
        <v>수학Ⅱ</v>
      </c>
      <c r="F316" s="7" t="str">
        <f>VLOOKUP(B316,Sheet3!A:F,4,0)</f>
        <v>3. 적분</v>
      </c>
      <c r="G316" s="7" t="str">
        <f>VLOOKUP(B316,Sheet3!A:F,5,0)</f>
        <v>L. 정적분</v>
      </c>
      <c r="H316" s="7" t="str">
        <f>VLOOKUP(B316,Sheet3!A:F,6,0)</f>
        <v>미적분학의 기본 정리</v>
      </c>
      <c r="I316" s="7" t="str">
        <f>"mun/"&amp;C316&amp;".png"</f>
        <v>mun/20250915.png</v>
      </c>
      <c r="J316" s="7">
        <v>1</v>
      </c>
      <c r="K316" s="7">
        <v>1</v>
      </c>
      <c r="L316" s="8" t="s">
        <v>251</v>
      </c>
    </row>
    <row r="317" spans="1:12" x14ac:dyDescent="0.3">
      <c r="A317" s="7">
        <f>VLOOKUP(B317,Sheet3!A:B,2,0)</f>
        <v>6</v>
      </c>
      <c r="B317" s="6" t="s">
        <v>499</v>
      </c>
      <c r="C317" s="7">
        <v>20250916</v>
      </c>
      <c r="D317" s="7">
        <v>1</v>
      </c>
      <c r="E317" s="7" t="str">
        <f>VLOOKUP(B317,Sheet3!A:F,3,0)</f>
        <v>수학Ⅰ</v>
      </c>
      <c r="F317" s="7" t="str">
        <f>VLOOKUP(B317,Sheet3!A:F,4,0)</f>
        <v>1. 지수함수와 로그함수</v>
      </c>
      <c r="G317" s="7" t="str">
        <f>VLOOKUP(B317,Sheet3!A:F,5,0)</f>
        <v>B. 지수함수와 로그함수</v>
      </c>
      <c r="H317" s="7" t="str">
        <f>VLOOKUP(B317,Sheet3!A:F,6,0)</f>
        <v>방정식과 부등식에의 활용</v>
      </c>
      <c r="I317" s="7" t="str">
        <f>"mun/"&amp;C317&amp;".png"</f>
        <v>mun/20250916.png</v>
      </c>
      <c r="J317" s="7">
        <v>7</v>
      </c>
      <c r="K317" s="7">
        <v>1</v>
      </c>
      <c r="L317" s="8" t="s">
        <v>252</v>
      </c>
    </row>
    <row r="318" spans="1:12" x14ac:dyDescent="0.3">
      <c r="A318" s="7">
        <f>VLOOKUP(B318,Sheet3!A:B,2,0)</f>
        <v>37</v>
      </c>
      <c r="B318" s="6" t="s">
        <v>528</v>
      </c>
      <c r="C318" s="7">
        <v>20250917</v>
      </c>
      <c r="D318" s="7">
        <v>1</v>
      </c>
      <c r="E318" s="7" t="str">
        <f>VLOOKUP(B318,Sheet3!A:F,3,0)</f>
        <v>수학Ⅱ</v>
      </c>
      <c r="F318" s="7" t="str">
        <f>VLOOKUP(B318,Sheet3!A:F,4,0)</f>
        <v>3. 적분</v>
      </c>
      <c r="G318" s="7" t="str">
        <f>VLOOKUP(B318,Sheet3!A:F,5,0)</f>
        <v>K. 부정적분</v>
      </c>
      <c r="H318" s="7" t="str">
        <f>VLOOKUP(B318,Sheet3!A:F,6,0)</f>
        <v>부정적분</v>
      </c>
      <c r="I318" s="7" t="str">
        <f>"mun/"&amp;C318&amp;".png"</f>
        <v>mun/20250917.png</v>
      </c>
      <c r="J318" s="7">
        <v>5</v>
      </c>
      <c r="K318" s="7">
        <v>1</v>
      </c>
      <c r="L318" s="8" t="s">
        <v>253</v>
      </c>
    </row>
    <row r="319" spans="1:12" x14ac:dyDescent="0.3">
      <c r="A319" s="7">
        <f>VLOOKUP(B319,Sheet3!A:B,2,0)</f>
        <v>18</v>
      </c>
      <c r="B319" s="6" t="s">
        <v>511</v>
      </c>
      <c r="C319" s="7">
        <v>20250918</v>
      </c>
      <c r="D319" s="7">
        <v>3</v>
      </c>
      <c r="E319" s="7" t="str">
        <f>VLOOKUP(B319,Sheet3!A:F,3,0)</f>
        <v>수학Ⅰ</v>
      </c>
      <c r="F319" s="7" t="str">
        <f>VLOOKUP(B319,Sheet3!A:F,4,0)</f>
        <v>3. 수열</v>
      </c>
      <c r="G319" s="7" t="str">
        <f>VLOOKUP(B319,Sheet3!A:F,5,0)</f>
        <v>E. 수열의 합</v>
      </c>
      <c r="H319" s="7" t="str">
        <f>VLOOKUP(B319,Sheet3!A:F,6,0)</f>
        <v>시그마의 뜻과 성질</v>
      </c>
      <c r="I319" s="7" t="str">
        <f>"mun/"&amp;C319&amp;".png"</f>
        <v>mun/20250918.png</v>
      </c>
      <c r="J319" s="7">
        <v>29</v>
      </c>
      <c r="K319" s="7">
        <v>1</v>
      </c>
      <c r="L319" s="8" t="s">
        <v>254</v>
      </c>
    </row>
    <row r="320" spans="1:12" x14ac:dyDescent="0.3">
      <c r="A320" s="7">
        <f>VLOOKUP(B320,Sheet3!A:B,2,0)</f>
        <v>33</v>
      </c>
      <c r="B320" s="6" t="s">
        <v>524</v>
      </c>
      <c r="C320" s="7">
        <v>20250919</v>
      </c>
      <c r="D320" s="7">
        <v>3</v>
      </c>
      <c r="E320" s="7" t="str">
        <f>VLOOKUP(B320,Sheet3!A:F,3,0)</f>
        <v>수학Ⅱ</v>
      </c>
      <c r="F320" s="7" t="str">
        <f>VLOOKUP(B320,Sheet3!A:F,4,0)</f>
        <v>2. 미분</v>
      </c>
      <c r="G320" s="7" t="str">
        <f>VLOOKUP(B320,Sheet3!A:F,5,0)</f>
        <v>J. 도함수의 활용</v>
      </c>
      <c r="H320" s="7" t="str">
        <f>VLOOKUP(B320,Sheet3!A:F,6,0)</f>
        <v>극대와 극소</v>
      </c>
      <c r="I320" s="7" t="str">
        <f>"mun/"&amp;C320&amp;".png"</f>
        <v>mun/20250919.png</v>
      </c>
      <c r="J320" s="7">
        <v>4</v>
      </c>
      <c r="K320" s="7">
        <v>1</v>
      </c>
      <c r="L320" s="8" t="s">
        <v>255</v>
      </c>
    </row>
    <row r="321" spans="1:12" x14ac:dyDescent="0.3">
      <c r="A321" s="7">
        <f>VLOOKUP(B321,Sheet3!A:B,2,0)</f>
        <v>13</v>
      </c>
      <c r="B321" s="6" t="s">
        <v>506</v>
      </c>
      <c r="C321" s="7">
        <v>20250920</v>
      </c>
      <c r="D321" s="7">
        <v>4</v>
      </c>
      <c r="E321" s="7" t="str">
        <f>VLOOKUP(B321,Sheet3!A:F,3,0)</f>
        <v>수학Ⅰ</v>
      </c>
      <c r="F321" s="7" t="str">
        <f>VLOOKUP(B321,Sheet3!A:F,4,0)</f>
        <v>2. 삼각함수</v>
      </c>
      <c r="G321" s="7" t="str">
        <f>VLOOKUP(B321,Sheet3!A:F,5,0)</f>
        <v>C. 삼각함수</v>
      </c>
      <c r="H321" s="7" t="str">
        <f>VLOOKUP(B321,Sheet3!A:F,6,0)</f>
        <v>방정식과 부등식에의 활용</v>
      </c>
      <c r="I321" s="7" t="str">
        <f>"mun/"&amp;C321&amp;".png"</f>
        <v>mun/20250920.png</v>
      </c>
      <c r="J321" s="7">
        <v>15</v>
      </c>
      <c r="K321" s="7">
        <v>1</v>
      </c>
      <c r="L321" s="8" t="s">
        <v>256</v>
      </c>
    </row>
    <row r="322" spans="1:12" x14ac:dyDescent="0.3">
      <c r="A322" s="7">
        <f>VLOOKUP(B322,Sheet3!A:B,2,0)</f>
        <v>35</v>
      </c>
      <c r="B322" s="6" t="s">
        <v>526</v>
      </c>
      <c r="C322" s="7">
        <v>20250921</v>
      </c>
      <c r="D322" s="7">
        <v>4</v>
      </c>
      <c r="E322" s="7" t="str">
        <f>VLOOKUP(B322,Sheet3!A:F,3,0)</f>
        <v>수학Ⅱ</v>
      </c>
      <c r="F322" s="7" t="str">
        <f>VLOOKUP(B322,Sheet3!A:F,4,0)</f>
        <v>2. 미분</v>
      </c>
      <c r="G322" s="7" t="str">
        <f>VLOOKUP(B322,Sheet3!A:F,5,0)</f>
        <v>J. 도함수의 활용</v>
      </c>
      <c r="H322" s="7" t="str">
        <f>VLOOKUP(B322,Sheet3!A:F,6,0)</f>
        <v>함수의 추론</v>
      </c>
      <c r="I322" s="7" t="str">
        <f>"mun/"&amp;C322&amp;".png"</f>
        <v>mun/20250921.png</v>
      </c>
      <c r="J322" s="7">
        <v>31</v>
      </c>
      <c r="K322" s="7">
        <v>1</v>
      </c>
      <c r="L322" s="8" t="s">
        <v>257</v>
      </c>
    </row>
    <row r="323" spans="1:12" x14ac:dyDescent="0.3">
      <c r="A323" s="7">
        <f>VLOOKUP(B323,Sheet3!A:B,2,0)</f>
        <v>21</v>
      </c>
      <c r="B323" s="6" t="s">
        <v>514</v>
      </c>
      <c r="C323" s="7">
        <v>20250922</v>
      </c>
      <c r="D323" s="7">
        <v>5</v>
      </c>
      <c r="E323" s="7" t="str">
        <f>VLOOKUP(B323,Sheet3!A:F,3,0)</f>
        <v>수학Ⅰ</v>
      </c>
      <c r="F323" s="7" t="str">
        <f>VLOOKUP(B323,Sheet3!A:F,4,0)</f>
        <v>3. 수열</v>
      </c>
      <c r="G323" s="7" t="str">
        <f>VLOOKUP(B323,Sheet3!A:F,5,0)</f>
        <v>F. 수학적 귀납법</v>
      </c>
      <c r="H323" s="7" t="str">
        <f>VLOOKUP(B323,Sheet3!A:F,6,0)</f>
        <v>수열의 귀납적 정의</v>
      </c>
      <c r="I323" s="7" t="str">
        <f>"mun/"&amp;C323&amp;".png"</f>
        <v>mun/20250922.png</v>
      </c>
      <c r="J323" s="7">
        <v>8</v>
      </c>
      <c r="K323" s="7">
        <v>1</v>
      </c>
      <c r="L323" s="8" t="s">
        <v>258</v>
      </c>
    </row>
    <row r="324" spans="1:12" x14ac:dyDescent="0.3">
      <c r="A324" s="7">
        <f>VLOOKUP(B324,Sheet3!A:B,2,0)</f>
        <v>45</v>
      </c>
      <c r="B324" s="6" t="s">
        <v>559</v>
      </c>
      <c r="C324" s="7">
        <v>20250923</v>
      </c>
      <c r="D324" s="7">
        <v>1</v>
      </c>
      <c r="E324" s="7" t="str">
        <f>VLOOKUP(B324,Sheet3!A:F,3,0)</f>
        <v>확률과 통계</v>
      </c>
      <c r="F324" s="7" t="str">
        <f>VLOOKUP(B324,Sheet3!A:F,4,0)</f>
        <v>1. 경우의 수</v>
      </c>
      <c r="G324" s="7" t="str">
        <f>VLOOKUP(B324,Sheet3!A:F,5,0)</f>
        <v>M. 여러 가지 순열과 중복 조합</v>
      </c>
      <c r="H324" s="7" t="str">
        <f>VLOOKUP(B324,Sheet3!A:F,6,0)</f>
        <v>같은 것이 있는 순열</v>
      </c>
      <c r="I324" s="7" t="str">
        <f>"mun/"&amp;C324&amp;".png"</f>
        <v>mun/20250923.png</v>
      </c>
      <c r="J324" s="7">
        <v>5</v>
      </c>
      <c r="K324" s="7">
        <v>1</v>
      </c>
      <c r="L324" s="6" t="s">
        <v>624</v>
      </c>
    </row>
    <row r="325" spans="1:12" x14ac:dyDescent="0.3">
      <c r="A325" s="7">
        <f>VLOOKUP(B325,Sheet3!A:B,2,0)</f>
        <v>55</v>
      </c>
      <c r="B325" s="6" t="s">
        <v>676</v>
      </c>
      <c r="C325" s="7">
        <v>20240926</v>
      </c>
      <c r="D325" s="7">
        <v>2</v>
      </c>
      <c r="E325" s="7" t="str">
        <f>VLOOKUP(B325,Sheet3!A:F,3,0)</f>
        <v>확률과 통계</v>
      </c>
      <c r="F325" s="7" t="str">
        <f>VLOOKUP(B325,Sheet3!A:F,4,0)</f>
        <v>3. 통계</v>
      </c>
      <c r="G325" s="7" t="str">
        <f>VLOOKUP(B325,Sheet3!A:F,5,0)</f>
        <v>Q. 확률분포</v>
      </c>
      <c r="H325" s="7" t="str">
        <f>VLOOKUP(B325,Sheet3!A:F,6,0)</f>
        <v>정규분포</v>
      </c>
      <c r="I325" s="7" t="str">
        <f>"mun/"&amp;C325&amp;".png"</f>
        <v>mun/20240926.png</v>
      </c>
      <c r="J325" s="7">
        <v>2</v>
      </c>
      <c r="K325" s="7">
        <v>1</v>
      </c>
      <c r="L325" s="6" t="s">
        <v>609</v>
      </c>
    </row>
    <row r="326" spans="1:12" x14ac:dyDescent="0.3">
      <c r="A326" s="7">
        <f>VLOOKUP(B326,Sheet3!A:B,2,0)</f>
        <v>55</v>
      </c>
      <c r="B326" s="6" t="s">
        <v>676</v>
      </c>
      <c r="C326" s="7">
        <v>20241130</v>
      </c>
      <c r="D326" s="7">
        <v>4</v>
      </c>
      <c r="E326" s="7" t="str">
        <f>VLOOKUP(B326,Sheet3!A:F,3,0)</f>
        <v>확률과 통계</v>
      </c>
      <c r="F326" s="7" t="str">
        <f>VLOOKUP(B326,Sheet3!A:F,4,0)</f>
        <v>3. 통계</v>
      </c>
      <c r="G326" s="7" t="str">
        <f>VLOOKUP(B326,Sheet3!A:F,5,0)</f>
        <v>Q. 확률분포</v>
      </c>
      <c r="H326" s="7" t="str">
        <f>VLOOKUP(B326,Sheet3!A:F,6,0)</f>
        <v>정규분포</v>
      </c>
      <c r="I326" s="7" t="str">
        <f>"mun/"&amp;C326&amp;".png"</f>
        <v>mun/20241130.png</v>
      </c>
      <c r="J326" s="7">
        <v>673</v>
      </c>
      <c r="K326" s="7">
        <v>1</v>
      </c>
      <c r="L326" s="6" t="s">
        <v>617</v>
      </c>
    </row>
    <row r="327" spans="1:12" x14ac:dyDescent="0.3">
      <c r="A327" s="7">
        <f>VLOOKUP(B327,Sheet3!A:B,2,0)</f>
        <v>55</v>
      </c>
      <c r="B327" s="6" t="s">
        <v>676</v>
      </c>
      <c r="C327" s="7">
        <v>20251129</v>
      </c>
      <c r="D327" s="7">
        <v>4</v>
      </c>
      <c r="E327" s="7" t="str">
        <f>VLOOKUP(B327,Sheet3!A:F,3,0)</f>
        <v>확률과 통계</v>
      </c>
      <c r="F327" s="7" t="str">
        <f>VLOOKUP(B327,Sheet3!A:F,4,0)</f>
        <v>3. 통계</v>
      </c>
      <c r="G327" s="7" t="str">
        <f>VLOOKUP(B327,Sheet3!A:F,5,0)</f>
        <v>Q. 확률분포</v>
      </c>
      <c r="H327" s="7" t="str">
        <f>VLOOKUP(B327,Sheet3!A:F,6,0)</f>
        <v>정규분포</v>
      </c>
      <c r="I327" s="7" t="str">
        <f>"mun/"&amp;C327&amp;".png"</f>
        <v>mun/20251129.png</v>
      </c>
      <c r="J327" s="7">
        <v>25</v>
      </c>
      <c r="K327" s="7">
        <v>1</v>
      </c>
      <c r="L327" s="6" t="s">
        <v>634</v>
      </c>
    </row>
    <row r="328" spans="1:12" x14ac:dyDescent="0.3">
      <c r="A328" s="7">
        <f>VLOOKUP(B328,Sheet3!A:B,2,0)</f>
        <v>59</v>
      </c>
      <c r="B328" s="6" t="s">
        <v>677</v>
      </c>
      <c r="C328" s="7">
        <v>20221127</v>
      </c>
      <c r="D328" s="7">
        <v>3</v>
      </c>
      <c r="E328" s="7" t="str">
        <f>VLOOKUP(B328,Sheet3!A:F,3,0)</f>
        <v>확률과 통계</v>
      </c>
      <c r="F328" s="7" t="str">
        <f>VLOOKUP(B328,Sheet3!A:F,4,0)</f>
        <v>3. 통계</v>
      </c>
      <c r="G328" s="7" t="str">
        <f>VLOOKUP(B328,Sheet3!A:F,5,0)</f>
        <v>R. 통계적 추정</v>
      </c>
      <c r="H328" s="7" t="str">
        <f>VLOOKUP(B328,Sheet3!A:F,6,0)</f>
        <v>모평균의 추정</v>
      </c>
      <c r="I328" s="7" t="str">
        <f>"mun/"&amp;C328&amp;".png"</f>
        <v>mun/20221127.png</v>
      </c>
      <c r="J328" s="7">
        <v>2</v>
      </c>
      <c r="K328" s="7">
        <v>1</v>
      </c>
      <c r="L328" s="6" t="s">
        <v>579</v>
      </c>
    </row>
    <row r="329" spans="1:12" x14ac:dyDescent="0.3">
      <c r="A329" s="7">
        <f>VLOOKUP(B329,Sheet3!A:B,2,0)</f>
        <v>59</v>
      </c>
      <c r="B329" s="6" t="s">
        <v>677</v>
      </c>
      <c r="C329" s="7">
        <v>20231127</v>
      </c>
      <c r="D329" s="7">
        <v>3</v>
      </c>
      <c r="E329" s="7" t="str">
        <f>VLOOKUP(B329,Sheet3!A:F,3,0)</f>
        <v>확률과 통계</v>
      </c>
      <c r="F329" s="7" t="str">
        <f>VLOOKUP(B329,Sheet3!A:F,4,0)</f>
        <v>3. 통계</v>
      </c>
      <c r="G329" s="7" t="str">
        <f>VLOOKUP(B329,Sheet3!A:F,5,0)</f>
        <v>R. 통계적 추정</v>
      </c>
      <c r="H329" s="7" t="str">
        <f>VLOOKUP(B329,Sheet3!A:F,6,0)</f>
        <v>모평균의 추정</v>
      </c>
      <c r="I329" s="7" t="str">
        <f>"mun/"&amp;C329&amp;".png"</f>
        <v>mun/20231127.png</v>
      </c>
      <c r="J329" s="7">
        <v>2</v>
      </c>
      <c r="K329" s="7">
        <v>1</v>
      </c>
      <c r="L329" s="6" t="s">
        <v>598</v>
      </c>
    </row>
    <row r="330" spans="1:12" x14ac:dyDescent="0.3">
      <c r="A330" s="7">
        <f>VLOOKUP(B330,Sheet3!A:B,2,0)</f>
        <v>59</v>
      </c>
      <c r="B330" s="6" t="s">
        <v>677</v>
      </c>
      <c r="C330" s="7">
        <v>20241127</v>
      </c>
      <c r="D330" s="7">
        <v>3</v>
      </c>
      <c r="E330" s="7" t="str">
        <f>VLOOKUP(B330,Sheet3!A:F,3,0)</f>
        <v>확률과 통계</v>
      </c>
      <c r="F330" s="7" t="str">
        <f>VLOOKUP(B330,Sheet3!A:F,4,0)</f>
        <v>3. 통계</v>
      </c>
      <c r="G330" s="7" t="str">
        <f>VLOOKUP(B330,Sheet3!A:F,5,0)</f>
        <v>R. 통계적 추정</v>
      </c>
      <c r="H330" s="7" t="str">
        <f>VLOOKUP(B330,Sheet3!A:F,6,0)</f>
        <v>모평균의 추정</v>
      </c>
      <c r="I330" s="7" t="str">
        <f>"mun/"&amp;C330&amp;".png"</f>
        <v>mun/20241127.png</v>
      </c>
      <c r="J330" s="7">
        <v>2</v>
      </c>
      <c r="K330" s="7">
        <v>1</v>
      </c>
      <c r="L330" s="6" t="s">
        <v>614</v>
      </c>
    </row>
    <row r="331" spans="1:12" x14ac:dyDescent="0.3">
      <c r="A331" s="7">
        <f>VLOOKUP(B331,Sheet3!A:B,2,0)</f>
        <v>46</v>
      </c>
      <c r="B331" s="6" t="s">
        <v>644</v>
      </c>
      <c r="C331" s="7">
        <v>20250930</v>
      </c>
      <c r="D331" s="7">
        <v>5</v>
      </c>
      <c r="E331" s="7" t="str">
        <f>VLOOKUP(B331,Sheet3!A:F,3,0)</f>
        <v>확률과 통계</v>
      </c>
      <c r="F331" s="7" t="str">
        <f>VLOOKUP(B331,Sheet3!A:F,4,0)</f>
        <v>1. 경우의 수</v>
      </c>
      <c r="G331" s="7" t="str">
        <f>VLOOKUP(B331,Sheet3!A:F,5,0)</f>
        <v>M. 여러 가지 순열과 중복 조합</v>
      </c>
      <c r="H331" s="7" t="str">
        <f>VLOOKUP(B331,Sheet3!A:F,6,0)</f>
        <v>중복 조합</v>
      </c>
      <c r="I331" s="7" t="str">
        <f>"mun/"&amp;C331&amp;".png"</f>
        <v>mun/20250930.png</v>
      </c>
      <c r="J331" s="7">
        <v>93</v>
      </c>
      <c r="K331" s="7">
        <v>1</v>
      </c>
      <c r="L331" s="8" t="s">
        <v>665</v>
      </c>
    </row>
    <row r="332" spans="1:12" x14ac:dyDescent="0.3">
      <c r="A332" s="7">
        <f>VLOOKUP(B332,Sheet3!A:B,2,0)</f>
        <v>2</v>
      </c>
      <c r="B332" s="6" t="s">
        <v>495</v>
      </c>
      <c r="C332" s="7">
        <v>20251101</v>
      </c>
      <c r="D332" s="7">
        <v>1</v>
      </c>
      <c r="E332" s="7" t="str">
        <f>VLOOKUP(B332,Sheet3!A:F,3,0)</f>
        <v>수학Ⅰ</v>
      </c>
      <c r="F332" s="7" t="str">
        <f>VLOOKUP(B332,Sheet3!A:F,4,0)</f>
        <v>1. 지수함수와 로그함수</v>
      </c>
      <c r="G332" s="7" t="str">
        <f>VLOOKUP(B332,Sheet3!A:F,5,0)</f>
        <v>A. 지수와 로그</v>
      </c>
      <c r="H332" s="7" t="str">
        <f>VLOOKUP(B332,Sheet3!A:F,6,0)</f>
        <v>지수의 연산</v>
      </c>
      <c r="I332" s="7" t="str">
        <f>"mun/"&amp;C332&amp;".png"</f>
        <v>mun/20251101.png</v>
      </c>
      <c r="J332" s="7">
        <v>5</v>
      </c>
      <c r="K332" s="7">
        <v>1</v>
      </c>
      <c r="L332" s="8" t="s">
        <v>111</v>
      </c>
    </row>
    <row r="333" spans="1:12" x14ac:dyDescent="0.3">
      <c r="A333" s="7">
        <f>VLOOKUP(B333,Sheet3!A:B,2,0)</f>
        <v>28</v>
      </c>
      <c r="B333" s="6" t="s">
        <v>519</v>
      </c>
      <c r="C333" s="7">
        <v>20251102</v>
      </c>
      <c r="D333" s="7">
        <v>1</v>
      </c>
      <c r="E333" s="7" t="str">
        <f>VLOOKUP(B333,Sheet3!A:F,3,0)</f>
        <v>수학Ⅱ</v>
      </c>
      <c r="F333" s="7" t="str">
        <f>VLOOKUP(B333,Sheet3!A:F,4,0)</f>
        <v>2. 미분</v>
      </c>
      <c r="G333" s="7" t="str">
        <f>VLOOKUP(B333,Sheet3!A:F,5,0)</f>
        <v>I. 도함수</v>
      </c>
      <c r="H333" s="7" t="str">
        <f>VLOOKUP(B333,Sheet3!A:F,6,0)</f>
        <v>미분계수와 도함수</v>
      </c>
      <c r="I333" s="7" t="str">
        <f>"mun/"&amp;C333&amp;".png"</f>
        <v>mun/20251102.png</v>
      </c>
      <c r="J333" s="7">
        <v>4</v>
      </c>
      <c r="K333" s="7">
        <v>1</v>
      </c>
      <c r="L333" s="8" t="s">
        <v>112</v>
      </c>
    </row>
    <row r="334" spans="1:12" x14ac:dyDescent="0.3">
      <c r="A334" s="7">
        <f>VLOOKUP(B334,Sheet3!A:B,2,0)</f>
        <v>17</v>
      </c>
      <c r="B334" s="6" t="s">
        <v>510</v>
      </c>
      <c r="C334" s="7">
        <v>20251103</v>
      </c>
      <c r="D334" s="7">
        <v>1</v>
      </c>
      <c r="E334" s="7" t="str">
        <f>VLOOKUP(B334,Sheet3!A:F,3,0)</f>
        <v>수학Ⅰ</v>
      </c>
      <c r="F334" s="7" t="str">
        <f>VLOOKUP(B334,Sheet3!A:F,4,0)</f>
        <v>3. 수열</v>
      </c>
      <c r="G334" s="7" t="str">
        <f>VLOOKUP(B334,Sheet3!A:F,5,0)</f>
        <v>D. 등차수열과 등비수열</v>
      </c>
      <c r="H334" s="7" t="str">
        <f>VLOOKUP(B334,Sheet3!A:F,6,0)</f>
        <v>등비수열</v>
      </c>
      <c r="I334" s="7" t="str">
        <f>"mun/"&amp;C334&amp;".png"</f>
        <v>mun/20251103.png</v>
      </c>
      <c r="J334" s="7">
        <v>5</v>
      </c>
      <c r="K334" s="7">
        <v>1</v>
      </c>
      <c r="L334" s="8" t="s">
        <v>113</v>
      </c>
    </row>
    <row r="335" spans="1:12" x14ac:dyDescent="0.3">
      <c r="A335" s="7">
        <f>VLOOKUP(B335,Sheet3!A:B,2,0)</f>
        <v>25</v>
      </c>
      <c r="B335" s="6" t="s">
        <v>517</v>
      </c>
      <c r="C335" s="7">
        <v>20251104</v>
      </c>
      <c r="D335" s="7">
        <v>2</v>
      </c>
      <c r="E335" s="7" t="str">
        <f>VLOOKUP(B335,Sheet3!A:F,3,0)</f>
        <v>수학Ⅱ</v>
      </c>
      <c r="F335" s="7" t="str">
        <f>VLOOKUP(B335,Sheet3!A:F,4,0)</f>
        <v>1. 함수의 극한과 연속</v>
      </c>
      <c r="G335" s="7" t="str">
        <f>VLOOKUP(B335,Sheet3!A:F,5,0)</f>
        <v>H. 함수의 연속</v>
      </c>
      <c r="H335" s="7" t="str">
        <f>VLOOKUP(B335,Sheet3!A:F,6,0)</f>
        <v>함수의 연속</v>
      </c>
      <c r="I335" s="7" t="str">
        <f>"mun/"&amp;C335&amp;".png"</f>
        <v>mun/20251104.png</v>
      </c>
      <c r="J335" s="7">
        <v>2</v>
      </c>
      <c r="K335" s="7">
        <v>1</v>
      </c>
      <c r="L335" s="8" t="s">
        <v>114</v>
      </c>
    </row>
    <row r="336" spans="1:12" x14ac:dyDescent="0.3">
      <c r="A336" s="7">
        <f>VLOOKUP(B336,Sheet3!A:B,2,0)</f>
        <v>29</v>
      </c>
      <c r="B336" s="6" t="s">
        <v>520</v>
      </c>
      <c r="C336" s="7">
        <v>20251105</v>
      </c>
      <c r="D336" s="7">
        <v>2</v>
      </c>
      <c r="E336" s="7" t="str">
        <f>VLOOKUP(B336,Sheet3!A:F,3,0)</f>
        <v>수학Ⅱ</v>
      </c>
      <c r="F336" s="7" t="str">
        <f>VLOOKUP(B336,Sheet3!A:F,4,0)</f>
        <v>2. 미분</v>
      </c>
      <c r="G336" s="7" t="str">
        <f>VLOOKUP(B336,Sheet3!A:F,5,0)</f>
        <v>I. 도함수</v>
      </c>
      <c r="H336" s="7" t="str">
        <f>VLOOKUP(B336,Sheet3!A:F,6,0)</f>
        <v>곱함수의 미분법</v>
      </c>
      <c r="I336" s="7" t="str">
        <f>"mun/"&amp;C336&amp;".png"</f>
        <v>mun/20251105.png</v>
      </c>
      <c r="J336" s="7">
        <v>4</v>
      </c>
      <c r="K336" s="7">
        <v>1</v>
      </c>
      <c r="L336" s="8" t="s">
        <v>116</v>
      </c>
    </row>
    <row r="337" spans="1:12" x14ac:dyDescent="0.3">
      <c r="A337" s="7">
        <f>VLOOKUP(B337,Sheet3!A:B,2,0)</f>
        <v>12</v>
      </c>
      <c r="B337" s="6" t="s">
        <v>505</v>
      </c>
      <c r="C337" s="7">
        <v>20251106</v>
      </c>
      <c r="D337" s="7">
        <v>2</v>
      </c>
      <c r="E337" s="7" t="str">
        <f>VLOOKUP(B337,Sheet3!A:F,3,0)</f>
        <v>수학Ⅰ</v>
      </c>
      <c r="F337" s="7" t="str">
        <f>VLOOKUP(B337,Sheet3!A:F,4,0)</f>
        <v>2. 삼각함수</v>
      </c>
      <c r="G337" s="7" t="str">
        <f>VLOOKUP(B337,Sheet3!A:F,5,0)</f>
        <v>C. 삼각함수</v>
      </c>
      <c r="H337" s="7" t="str">
        <f>VLOOKUP(B337,Sheet3!A:F,6,0)</f>
        <v>삼각함수의 값</v>
      </c>
      <c r="I337" s="7" t="str">
        <f>"mun/"&amp;C337&amp;".png"</f>
        <v>mun/20251106.png</v>
      </c>
      <c r="J337" s="7">
        <v>5</v>
      </c>
      <c r="K337" s="7">
        <v>1</v>
      </c>
      <c r="L337" s="8" t="s">
        <v>115</v>
      </c>
    </row>
    <row r="338" spans="1:12" x14ac:dyDescent="0.3">
      <c r="A338" s="7">
        <f>VLOOKUP(B338,Sheet3!A:B,2,0)</f>
        <v>39</v>
      </c>
      <c r="B338" s="6" t="s">
        <v>530</v>
      </c>
      <c r="C338" s="7">
        <v>20251107</v>
      </c>
      <c r="D338" s="7">
        <v>2</v>
      </c>
      <c r="E338" s="7" t="str">
        <f>VLOOKUP(B338,Sheet3!A:F,3,0)</f>
        <v>수학Ⅱ</v>
      </c>
      <c r="F338" s="7" t="str">
        <f>VLOOKUP(B338,Sheet3!A:F,4,0)</f>
        <v>3. 적분</v>
      </c>
      <c r="G338" s="7" t="str">
        <f>VLOOKUP(B338,Sheet3!A:F,5,0)</f>
        <v>L. 정적분</v>
      </c>
      <c r="H338" s="7" t="str">
        <f>VLOOKUP(B338,Sheet3!A:F,6,0)</f>
        <v>미적분학의 기본 정리</v>
      </c>
      <c r="I338" s="7" t="str">
        <f>"mun/"&amp;C338&amp;".png"</f>
        <v>mun/20251107.png</v>
      </c>
      <c r="J338" s="7">
        <v>3</v>
      </c>
      <c r="K338" s="7">
        <v>1</v>
      </c>
      <c r="L338" s="8" t="s">
        <v>117</v>
      </c>
    </row>
    <row r="339" spans="1:12" x14ac:dyDescent="0.3">
      <c r="A339" s="7">
        <f>VLOOKUP(B339,Sheet3!A:B,2,0)</f>
        <v>3</v>
      </c>
      <c r="B339" s="6" t="s">
        <v>496</v>
      </c>
      <c r="C339" s="7">
        <v>20251108</v>
      </c>
      <c r="D339" s="7">
        <v>2</v>
      </c>
      <c r="E339" s="7" t="str">
        <f>VLOOKUP(B339,Sheet3!A:F,3,0)</f>
        <v>수학Ⅰ</v>
      </c>
      <c r="F339" s="7" t="str">
        <f>VLOOKUP(B339,Sheet3!A:F,4,0)</f>
        <v>1. 지수함수와 로그함수</v>
      </c>
      <c r="G339" s="7" t="str">
        <f>VLOOKUP(B339,Sheet3!A:F,5,0)</f>
        <v>A. 지수와 로그</v>
      </c>
      <c r="H339" s="7" t="str">
        <f>VLOOKUP(B339,Sheet3!A:F,6,0)</f>
        <v>로그의 연산</v>
      </c>
      <c r="I339" s="7" t="str">
        <f>"mun/"&amp;C339&amp;".png"</f>
        <v>mun/20251108.png</v>
      </c>
      <c r="J339" s="7">
        <v>1</v>
      </c>
      <c r="K339" s="7">
        <v>1</v>
      </c>
      <c r="L339" s="8" t="s">
        <v>118</v>
      </c>
    </row>
    <row r="340" spans="1:12" x14ac:dyDescent="0.3">
      <c r="A340" s="7">
        <f>VLOOKUP(B340,Sheet3!A:B,2,0)</f>
        <v>38</v>
      </c>
      <c r="B340" s="6" t="s">
        <v>529</v>
      </c>
      <c r="C340" s="7">
        <v>20251109</v>
      </c>
      <c r="D340" s="7">
        <v>3</v>
      </c>
      <c r="E340" s="7" t="str">
        <f>VLOOKUP(B340,Sheet3!A:F,3,0)</f>
        <v>수학Ⅱ</v>
      </c>
      <c r="F340" s="7" t="str">
        <f>VLOOKUP(B340,Sheet3!A:F,4,0)</f>
        <v>3. 적분</v>
      </c>
      <c r="G340" s="7" t="str">
        <f>VLOOKUP(B340,Sheet3!A:F,5,0)</f>
        <v>L. 정적분</v>
      </c>
      <c r="H340" s="7" t="str">
        <f>VLOOKUP(B340,Sheet3!A:F,6,0)</f>
        <v>정적분</v>
      </c>
      <c r="I340" s="7" t="str">
        <f>"mun/"&amp;C340&amp;".png"</f>
        <v>mun/20251109.png</v>
      </c>
      <c r="J340" s="7">
        <v>4</v>
      </c>
      <c r="K340" s="7">
        <v>1</v>
      </c>
      <c r="L340" s="8" t="s">
        <v>119</v>
      </c>
    </row>
    <row r="341" spans="1:12" x14ac:dyDescent="0.3">
      <c r="A341" s="7">
        <f>VLOOKUP(B341,Sheet3!A:B,2,0)</f>
        <v>14</v>
      </c>
      <c r="B341" s="6" t="s">
        <v>507</v>
      </c>
      <c r="C341" s="7">
        <v>20251110</v>
      </c>
      <c r="D341" s="7">
        <v>3</v>
      </c>
      <c r="E341" s="7" t="str">
        <f>VLOOKUP(B341,Sheet3!A:F,3,0)</f>
        <v>수학Ⅰ</v>
      </c>
      <c r="F341" s="7" t="str">
        <f>VLOOKUP(B341,Sheet3!A:F,4,0)</f>
        <v>2. 삼각함수</v>
      </c>
      <c r="G341" s="7" t="str">
        <f>VLOOKUP(B341,Sheet3!A:F,5,0)</f>
        <v>C. 삼각함수</v>
      </c>
      <c r="H341" s="7" t="str">
        <f>VLOOKUP(B341,Sheet3!A:F,6,0)</f>
        <v>함수의 최대 또는 최소</v>
      </c>
      <c r="I341" s="7" t="str">
        <f>"mun/"&amp;C341&amp;".png"</f>
        <v>mun/20251110.png</v>
      </c>
      <c r="J341" s="7">
        <v>3</v>
      </c>
      <c r="K341" s="7">
        <v>1</v>
      </c>
      <c r="L341" s="8" t="s">
        <v>120</v>
      </c>
    </row>
    <row r="342" spans="1:12" x14ac:dyDescent="0.3">
      <c r="A342" s="7">
        <f>VLOOKUP(B342,Sheet3!A:B,2,0)</f>
        <v>36</v>
      </c>
      <c r="B342" s="6" t="s">
        <v>527</v>
      </c>
      <c r="C342" s="7">
        <v>20251111</v>
      </c>
      <c r="D342" s="7">
        <v>3</v>
      </c>
      <c r="E342" s="7" t="str">
        <f>VLOOKUP(B342,Sheet3!A:F,3,0)</f>
        <v>수학Ⅱ</v>
      </c>
      <c r="F342" s="7" t="str">
        <f>VLOOKUP(B342,Sheet3!A:F,4,0)</f>
        <v>2. 미분</v>
      </c>
      <c r="G342" s="7" t="str">
        <f>VLOOKUP(B342,Sheet3!A:F,5,0)</f>
        <v>J. 도함수의 활용</v>
      </c>
      <c r="H342" s="7" t="str">
        <f>VLOOKUP(B342,Sheet3!A:F,6,0)</f>
        <v>속도와 가속도</v>
      </c>
      <c r="I342" s="7" t="str">
        <f>"mun/"&amp;C342&amp;".png"</f>
        <v>mun/20251111.png</v>
      </c>
      <c r="J342" s="7">
        <v>2</v>
      </c>
      <c r="K342" s="7">
        <v>1</v>
      </c>
      <c r="L342" s="8" t="s">
        <v>121</v>
      </c>
    </row>
    <row r="343" spans="1:12" x14ac:dyDescent="0.3">
      <c r="A343" s="7">
        <f>VLOOKUP(B343,Sheet3!A:B,2,0)</f>
        <v>19</v>
      </c>
      <c r="B343" s="6" t="s">
        <v>512</v>
      </c>
      <c r="C343" s="7">
        <v>20251112</v>
      </c>
      <c r="D343" s="7">
        <v>4</v>
      </c>
      <c r="E343" s="7" t="str">
        <f>VLOOKUP(B343,Sheet3!A:F,3,0)</f>
        <v>수학Ⅰ</v>
      </c>
      <c r="F343" s="7" t="str">
        <f>VLOOKUP(B343,Sheet3!A:F,4,0)</f>
        <v>3. 수열</v>
      </c>
      <c r="G343" s="7" t="str">
        <f>VLOOKUP(B343,Sheet3!A:F,5,0)</f>
        <v>E. 수열의 합</v>
      </c>
      <c r="H343" s="7" t="str">
        <f>VLOOKUP(B343,Sheet3!A:F,6,0)</f>
        <v>수열의 합과 일반항 사이의 관계</v>
      </c>
      <c r="I343" s="7" t="str">
        <f>"mun/"&amp;C343&amp;".png"</f>
        <v>mun/20251112.png</v>
      </c>
      <c r="J343" s="7">
        <v>1</v>
      </c>
      <c r="K343" s="7">
        <v>1</v>
      </c>
      <c r="L343" s="8" t="s">
        <v>122</v>
      </c>
    </row>
    <row r="344" spans="1:12" x14ac:dyDescent="0.3">
      <c r="A344" s="7">
        <f>VLOOKUP(B344,Sheet3!A:B,2,0)</f>
        <v>40</v>
      </c>
      <c r="B344" s="6" t="s">
        <v>531</v>
      </c>
      <c r="C344" s="7">
        <v>20251113</v>
      </c>
      <c r="D344" s="7">
        <v>4</v>
      </c>
      <c r="E344" s="7" t="str">
        <f>VLOOKUP(B344,Sheet3!A:F,3,0)</f>
        <v>수학Ⅱ</v>
      </c>
      <c r="F344" s="7" t="str">
        <f>VLOOKUP(B344,Sheet3!A:F,4,0)</f>
        <v>3. 적분</v>
      </c>
      <c r="G344" s="7" t="str">
        <f>VLOOKUP(B344,Sheet3!A:F,5,0)</f>
        <v>L. 정적분</v>
      </c>
      <c r="H344" s="7" t="str">
        <f>VLOOKUP(B344,Sheet3!A:F,6,0)</f>
        <v>곡선 사이의 넓이</v>
      </c>
      <c r="I344" s="7" t="str">
        <f>"mun/"&amp;C344&amp;".png"</f>
        <v>mun/20251113.png</v>
      </c>
      <c r="J344" s="7">
        <v>5</v>
      </c>
      <c r="K344" s="7">
        <v>1</v>
      </c>
      <c r="L344" s="8" t="s">
        <v>123</v>
      </c>
    </row>
    <row r="345" spans="1:12" x14ac:dyDescent="0.3">
      <c r="A345" s="7">
        <f>VLOOKUP(B345,Sheet3!A:B,2,0)</f>
        <v>15</v>
      </c>
      <c r="B345" s="6" t="s">
        <v>508</v>
      </c>
      <c r="C345" s="7">
        <v>20251114</v>
      </c>
      <c r="D345" s="7">
        <v>4</v>
      </c>
      <c r="E345" s="7" t="str">
        <f>VLOOKUP(B345,Sheet3!A:F,3,0)</f>
        <v>수학Ⅰ</v>
      </c>
      <c r="F345" s="7" t="str">
        <f>VLOOKUP(B345,Sheet3!A:F,4,0)</f>
        <v>2. 삼각함수</v>
      </c>
      <c r="G345" s="7" t="str">
        <f>VLOOKUP(B345,Sheet3!A:F,5,0)</f>
        <v>C. 삼각함수</v>
      </c>
      <c r="H345" s="7" t="str">
        <f>VLOOKUP(B345,Sheet3!A:F,6,0)</f>
        <v>사인법칙과 코사인법칙</v>
      </c>
      <c r="I345" s="7" t="str">
        <f>"mun/"&amp;C345&amp;".png"</f>
        <v>mun/20251114.png</v>
      </c>
      <c r="J345" s="7">
        <v>4</v>
      </c>
      <c r="K345" s="7">
        <v>1</v>
      </c>
      <c r="L345" s="8" t="s">
        <v>124</v>
      </c>
    </row>
    <row r="346" spans="1:12" x14ac:dyDescent="0.3">
      <c r="A346" s="7">
        <f>VLOOKUP(B346,Sheet3!A:B,2,0)</f>
        <v>30</v>
      </c>
      <c r="B346" s="6" t="s">
        <v>521</v>
      </c>
      <c r="C346" s="7">
        <v>20251115</v>
      </c>
      <c r="D346" s="7">
        <v>5</v>
      </c>
      <c r="E346" s="7" t="str">
        <f>VLOOKUP(B346,Sheet3!A:F,3,0)</f>
        <v>수학Ⅱ</v>
      </c>
      <c r="F346" s="7" t="str">
        <f>VLOOKUP(B346,Sheet3!A:F,4,0)</f>
        <v>2. 미분</v>
      </c>
      <c r="G346" s="7" t="str">
        <f>VLOOKUP(B346,Sheet3!A:F,5,0)</f>
        <v>I. 도함수</v>
      </c>
      <c r="H346" s="7" t="str">
        <f>VLOOKUP(B346,Sheet3!A:F,6,0)</f>
        <v>미분가능성</v>
      </c>
      <c r="I346" s="7" t="str">
        <f>"mun/"&amp;C346&amp;".png"</f>
        <v>mun/20251115.png</v>
      </c>
      <c r="J346" s="7">
        <v>2</v>
      </c>
      <c r="K346" s="7">
        <v>1</v>
      </c>
      <c r="L346" s="8" t="s">
        <v>125</v>
      </c>
    </row>
    <row r="347" spans="1:12" x14ac:dyDescent="0.3">
      <c r="A347" s="7">
        <f>VLOOKUP(B347,Sheet3!A:B,2,0)</f>
        <v>6</v>
      </c>
      <c r="B347" s="6" t="s">
        <v>499</v>
      </c>
      <c r="C347" s="7">
        <v>20251116</v>
      </c>
      <c r="D347" s="7">
        <v>1</v>
      </c>
      <c r="E347" s="7" t="str">
        <f>VLOOKUP(B347,Sheet3!A:F,3,0)</f>
        <v>수학Ⅰ</v>
      </c>
      <c r="F347" s="7" t="str">
        <f>VLOOKUP(B347,Sheet3!A:F,4,0)</f>
        <v>1. 지수함수와 로그함수</v>
      </c>
      <c r="G347" s="7" t="str">
        <f>VLOOKUP(B347,Sheet3!A:F,5,0)</f>
        <v>B. 지수함수와 로그함수</v>
      </c>
      <c r="H347" s="7" t="str">
        <f>VLOOKUP(B347,Sheet3!A:F,6,0)</f>
        <v>방정식과 부등식에의 활용</v>
      </c>
      <c r="I347" s="7" t="str">
        <f>"mun/"&amp;C347&amp;".png"</f>
        <v>mun/20251116.png</v>
      </c>
      <c r="J347" s="7">
        <v>7</v>
      </c>
      <c r="K347" s="7">
        <v>1</v>
      </c>
      <c r="L347" s="8" t="s">
        <v>126</v>
      </c>
    </row>
    <row r="348" spans="1:12" x14ac:dyDescent="0.3">
      <c r="A348" s="7">
        <f>VLOOKUP(B348,Sheet3!A:B,2,0)</f>
        <v>37</v>
      </c>
      <c r="B348" s="6" t="s">
        <v>528</v>
      </c>
      <c r="C348" s="7">
        <v>20251117</v>
      </c>
      <c r="D348" s="7">
        <v>1</v>
      </c>
      <c r="E348" s="7" t="str">
        <f>VLOOKUP(B348,Sheet3!A:F,3,0)</f>
        <v>수학Ⅱ</v>
      </c>
      <c r="F348" s="7" t="str">
        <f>VLOOKUP(B348,Sheet3!A:F,4,0)</f>
        <v>3. 적분</v>
      </c>
      <c r="G348" s="7" t="str">
        <f>VLOOKUP(B348,Sheet3!A:F,5,0)</f>
        <v>K. 부정적분</v>
      </c>
      <c r="H348" s="7" t="str">
        <f>VLOOKUP(B348,Sheet3!A:F,6,0)</f>
        <v>부정적분</v>
      </c>
      <c r="I348" s="7" t="str">
        <f>"mun/"&amp;C348&amp;".png"</f>
        <v>mun/20251117.png</v>
      </c>
      <c r="J348" s="7">
        <v>33</v>
      </c>
      <c r="K348" s="7">
        <v>1</v>
      </c>
      <c r="L348" s="8" t="s">
        <v>127</v>
      </c>
    </row>
    <row r="349" spans="1:12" x14ac:dyDescent="0.3">
      <c r="A349" s="7">
        <f>VLOOKUP(B349,Sheet3!A:B,2,0)</f>
        <v>20</v>
      </c>
      <c r="B349" s="6" t="s">
        <v>513</v>
      </c>
      <c r="C349" s="7">
        <v>20251118</v>
      </c>
      <c r="D349" s="7">
        <v>3</v>
      </c>
      <c r="E349" s="7" t="str">
        <f>VLOOKUP(B349,Sheet3!A:F,3,0)</f>
        <v>수학Ⅰ</v>
      </c>
      <c r="F349" s="7" t="str">
        <f>VLOOKUP(B349,Sheet3!A:F,4,0)</f>
        <v>3. 수열</v>
      </c>
      <c r="G349" s="7" t="str">
        <f>VLOOKUP(B349,Sheet3!A:F,5,0)</f>
        <v>E. 수열의 합</v>
      </c>
      <c r="H349" s="7" t="str">
        <f>VLOOKUP(B349,Sheet3!A:F,6,0)</f>
        <v>여러 가지 수열의 합</v>
      </c>
      <c r="I349" s="7" t="str">
        <f>"mun/"&amp;C349&amp;".png"</f>
        <v>mun/20251118.png</v>
      </c>
      <c r="J349" s="7">
        <v>96</v>
      </c>
      <c r="K349" s="7">
        <v>1</v>
      </c>
      <c r="L349" s="8" t="s">
        <v>128</v>
      </c>
    </row>
    <row r="350" spans="1:12" x14ac:dyDescent="0.3">
      <c r="A350" s="7">
        <f>VLOOKUP(B350,Sheet3!A:B,2,0)</f>
        <v>33</v>
      </c>
      <c r="B350" s="6" t="s">
        <v>524</v>
      </c>
      <c r="C350" s="7">
        <v>20251119</v>
      </c>
      <c r="D350" s="7">
        <v>3</v>
      </c>
      <c r="E350" s="7" t="str">
        <f>VLOOKUP(B350,Sheet3!A:F,3,0)</f>
        <v>수학Ⅱ</v>
      </c>
      <c r="F350" s="7" t="str">
        <f>VLOOKUP(B350,Sheet3!A:F,4,0)</f>
        <v>2. 미분</v>
      </c>
      <c r="G350" s="7" t="str">
        <f>VLOOKUP(B350,Sheet3!A:F,5,0)</f>
        <v>J. 도함수의 활용</v>
      </c>
      <c r="H350" s="7" t="str">
        <f>VLOOKUP(B350,Sheet3!A:F,6,0)</f>
        <v>극대와 극소</v>
      </c>
      <c r="I350" s="7" t="str">
        <f>"mun/"&amp;C350&amp;".png"</f>
        <v>mun/20251119.png</v>
      </c>
      <c r="J350" s="7">
        <v>41</v>
      </c>
      <c r="K350" s="7">
        <v>1</v>
      </c>
      <c r="L350" s="8" t="s">
        <v>129</v>
      </c>
    </row>
    <row r="351" spans="1:12" x14ac:dyDescent="0.3">
      <c r="A351" s="7">
        <f>VLOOKUP(B351,Sheet3!A:B,2,0)</f>
        <v>4</v>
      </c>
      <c r="B351" s="6" t="s">
        <v>497</v>
      </c>
      <c r="C351" s="7">
        <v>20251120</v>
      </c>
      <c r="D351" s="7">
        <v>4</v>
      </c>
      <c r="E351" s="7" t="str">
        <f>VLOOKUP(B351,Sheet3!A:F,3,0)</f>
        <v>수학Ⅰ</v>
      </c>
      <c r="F351" s="7" t="str">
        <f>VLOOKUP(B351,Sheet3!A:F,4,0)</f>
        <v>1. 지수함수와 로그함수</v>
      </c>
      <c r="G351" s="7" t="str">
        <f>VLOOKUP(B351,Sheet3!A:F,5,0)</f>
        <v>B. 지수함수와 로그함수</v>
      </c>
      <c r="H351" s="7" t="str">
        <f>VLOOKUP(B351,Sheet3!A:F,6,0)</f>
        <v>지수함수의 그래프</v>
      </c>
      <c r="I351" s="7" t="str">
        <f>"mun/"&amp;C351&amp;".png"</f>
        <v>mun/20251120.png</v>
      </c>
      <c r="J351" s="7">
        <v>36</v>
      </c>
      <c r="K351" s="7">
        <v>1</v>
      </c>
      <c r="L351" s="8" t="s">
        <v>130</v>
      </c>
    </row>
    <row r="352" spans="1:12" x14ac:dyDescent="0.3">
      <c r="A352" s="7">
        <f>VLOOKUP(B352,Sheet3!A:B,2,0)</f>
        <v>23</v>
      </c>
      <c r="B352" s="6" t="s">
        <v>515</v>
      </c>
      <c r="C352" s="7">
        <v>20251121</v>
      </c>
      <c r="D352" s="7">
        <v>4</v>
      </c>
      <c r="E352" s="7" t="str">
        <f>VLOOKUP(B352,Sheet3!A:F,3,0)</f>
        <v>수학Ⅱ</v>
      </c>
      <c r="F352" s="7" t="str">
        <f>VLOOKUP(B352,Sheet3!A:F,4,0)</f>
        <v>1. 함수의 극한과 연속</v>
      </c>
      <c r="G352" s="7" t="str">
        <f>VLOOKUP(B352,Sheet3!A:F,5,0)</f>
        <v>G. 함수의 극한</v>
      </c>
      <c r="H352" s="7" t="str">
        <f>VLOOKUP(B352,Sheet3!A:F,6,0)</f>
        <v>함수의 극한</v>
      </c>
      <c r="I352" s="7" t="str">
        <f>"mun/"&amp;C352&amp;".png"</f>
        <v>mun/20251121.png</v>
      </c>
      <c r="J352" s="7">
        <v>16</v>
      </c>
      <c r="K352" s="7">
        <v>1</v>
      </c>
      <c r="L352" s="8" t="s">
        <v>131</v>
      </c>
    </row>
    <row r="353" spans="1:12" x14ac:dyDescent="0.3">
      <c r="A353" s="7">
        <f>VLOOKUP(B353,Sheet3!A:B,2,0)</f>
        <v>21</v>
      </c>
      <c r="B353" s="6" t="s">
        <v>514</v>
      </c>
      <c r="C353" s="7">
        <v>20251122</v>
      </c>
      <c r="D353" s="7">
        <v>5</v>
      </c>
      <c r="E353" s="7" t="str">
        <f>VLOOKUP(B353,Sheet3!A:F,3,0)</f>
        <v>수학Ⅰ</v>
      </c>
      <c r="F353" s="7" t="str">
        <f>VLOOKUP(B353,Sheet3!A:F,4,0)</f>
        <v>3. 수열</v>
      </c>
      <c r="G353" s="7" t="str">
        <f>VLOOKUP(B353,Sheet3!A:F,5,0)</f>
        <v>F. 수학적 귀납법</v>
      </c>
      <c r="H353" s="7" t="str">
        <f>VLOOKUP(B353,Sheet3!A:F,6,0)</f>
        <v>수열의 귀납적 정의</v>
      </c>
      <c r="I353" s="7" t="str">
        <f>"mun/"&amp;C353&amp;".png"</f>
        <v>mun/20251122.png</v>
      </c>
      <c r="J353" s="7">
        <v>64</v>
      </c>
      <c r="K353" s="7">
        <v>1</v>
      </c>
      <c r="L353" s="8" t="s">
        <v>132</v>
      </c>
    </row>
    <row r="354" spans="1:12" x14ac:dyDescent="0.3">
      <c r="A354" s="7">
        <f>VLOOKUP(B354,Sheet3!A:B,2,0)</f>
        <v>47</v>
      </c>
      <c r="B354" s="6" t="s">
        <v>555</v>
      </c>
      <c r="C354" s="7">
        <v>20251123</v>
      </c>
      <c r="D354" s="7">
        <v>1</v>
      </c>
      <c r="E354" s="7" t="str">
        <f>VLOOKUP(B354,Sheet3!A:F,3,0)</f>
        <v>확률과 통계</v>
      </c>
      <c r="F354" s="7" t="str">
        <f>VLOOKUP(B354,Sheet3!A:F,4,0)</f>
        <v>1. 경우의 수</v>
      </c>
      <c r="G354" s="7" t="str">
        <f>VLOOKUP(B354,Sheet3!A:F,5,0)</f>
        <v>N. 이항정리와 이항계수</v>
      </c>
      <c r="H354" s="7" t="str">
        <f>VLOOKUP(B354,Sheet3!A:F,6,0)</f>
        <v>전개식의 계수</v>
      </c>
      <c r="I354" s="7" t="str">
        <f>"mun/"&amp;C354&amp;".png"</f>
        <v>mun/20251123.png</v>
      </c>
      <c r="J354" s="7">
        <v>5</v>
      </c>
      <c r="K354" s="7">
        <v>1</v>
      </c>
      <c r="L354" s="6" t="s">
        <v>628</v>
      </c>
    </row>
    <row r="355" spans="1:12" x14ac:dyDescent="0.3">
      <c r="A355" s="7">
        <f>VLOOKUP(B355,Sheet3!A:B,2,0)</f>
        <v>59</v>
      </c>
      <c r="B355" s="6" t="s">
        <v>677</v>
      </c>
      <c r="C355" s="7">
        <v>20251125</v>
      </c>
      <c r="D355" s="7">
        <v>2</v>
      </c>
      <c r="E355" s="7" t="str">
        <f>VLOOKUP(B355,Sheet3!A:F,3,0)</f>
        <v>확률과 통계</v>
      </c>
      <c r="F355" s="7" t="str">
        <f>VLOOKUP(B355,Sheet3!A:F,4,0)</f>
        <v>3. 통계</v>
      </c>
      <c r="G355" s="7" t="str">
        <f>VLOOKUP(B355,Sheet3!A:F,5,0)</f>
        <v>R. 통계적 추정</v>
      </c>
      <c r="H355" s="7" t="str">
        <f>VLOOKUP(B355,Sheet3!A:F,6,0)</f>
        <v>모평균의 추정</v>
      </c>
      <c r="I355" s="7" t="str">
        <f>"mun/"&amp;C355&amp;".png"</f>
        <v>mun/20251125.png</v>
      </c>
      <c r="J355" s="7">
        <v>1</v>
      </c>
      <c r="K355" s="7">
        <v>1</v>
      </c>
      <c r="L355" s="6" t="s">
        <v>630</v>
      </c>
    </row>
    <row r="356" spans="1:12" x14ac:dyDescent="0.3">
      <c r="A356" s="7">
        <f>VLOOKUP(B356,Sheet3!A:B,2,0)</f>
        <v>57</v>
      </c>
      <c r="B356" s="6" t="s">
        <v>678</v>
      </c>
      <c r="C356" s="7">
        <v>20230929</v>
      </c>
      <c r="D356" s="7">
        <v>4</v>
      </c>
      <c r="E356" s="7" t="str">
        <f>VLOOKUP(B356,Sheet3!A:F,3,0)</f>
        <v>확률과 통계</v>
      </c>
      <c r="F356" s="7" t="str">
        <f>VLOOKUP(B356,Sheet3!A:F,4,0)</f>
        <v>3. 통계</v>
      </c>
      <c r="G356" s="7" t="str">
        <f>VLOOKUP(B356,Sheet3!A:F,5,0)</f>
        <v>R. 통계적 추정</v>
      </c>
      <c r="H356" s="7" t="str">
        <f>VLOOKUP(B356,Sheet3!A:F,6,0)</f>
        <v>표본평균</v>
      </c>
      <c r="I356" s="7" t="str">
        <f>"mun/"&amp;C356&amp;".png"</f>
        <v>mun/20230929.png</v>
      </c>
      <c r="J356" s="7">
        <v>175</v>
      </c>
      <c r="K356" s="7">
        <v>1</v>
      </c>
      <c r="L356" s="8" t="s">
        <v>650</v>
      </c>
    </row>
    <row r="357" spans="1:12" x14ac:dyDescent="0.3">
      <c r="A357" s="7">
        <f>VLOOKUP(B357,Sheet3!A:B,2,0)</f>
        <v>57</v>
      </c>
      <c r="B357" s="6" t="s">
        <v>678</v>
      </c>
      <c r="C357" s="7">
        <v>20240928</v>
      </c>
      <c r="D357" s="7">
        <v>4</v>
      </c>
      <c r="E357" s="7" t="str">
        <f>VLOOKUP(B357,Sheet3!A:F,3,0)</f>
        <v>확률과 통계</v>
      </c>
      <c r="F357" s="7" t="str">
        <f>VLOOKUP(B357,Sheet3!A:F,4,0)</f>
        <v>3. 통계</v>
      </c>
      <c r="G357" s="7" t="str">
        <f>VLOOKUP(B357,Sheet3!A:F,5,0)</f>
        <v>R. 통계적 추정</v>
      </c>
      <c r="H357" s="7" t="str">
        <f>VLOOKUP(B357,Sheet3!A:F,6,0)</f>
        <v>표본평균</v>
      </c>
      <c r="I357" s="7" t="str">
        <f>"mun/"&amp;C357&amp;".png"</f>
        <v>mun/20240928.png</v>
      </c>
      <c r="J357" s="7">
        <v>5</v>
      </c>
      <c r="K357" s="7">
        <v>1</v>
      </c>
      <c r="L357" s="8" t="s">
        <v>657</v>
      </c>
    </row>
    <row r="358" spans="1:12" x14ac:dyDescent="0.3">
      <c r="A358" s="7">
        <f>VLOOKUP(B358,Sheet3!A:B,2,0)</f>
        <v>58</v>
      </c>
      <c r="B358" s="6" t="s">
        <v>679</v>
      </c>
      <c r="C358" s="7">
        <v>20220927</v>
      </c>
      <c r="D358" s="7">
        <v>3</v>
      </c>
      <c r="E358" s="7" t="str">
        <f>VLOOKUP(B358,Sheet3!A:F,3,0)</f>
        <v>확률과 통계</v>
      </c>
      <c r="F358" s="7" t="str">
        <f>VLOOKUP(B358,Sheet3!A:F,4,0)</f>
        <v>3. 통계</v>
      </c>
      <c r="G358" s="7" t="str">
        <f>VLOOKUP(B358,Sheet3!A:F,5,0)</f>
        <v>R. 통계적 추정</v>
      </c>
      <c r="H358" s="7" t="str">
        <f>VLOOKUP(B358,Sheet3!A:F,6,0)</f>
        <v>표본평균의 분포</v>
      </c>
      <c r="I358" s="7" t="str">
        <f>"mun/"&amp;C358&amp;".png"</f>
        <v>mun/20220927.png</v>
      </c>
      <c r="J358" s="7">
        <v>5</v>
      </c>
      <c r="K358" s="7">
        <v>1</v>
      </c>
      <c r="L358" s="6" t="s">
        <v>571</v>
      </c>
    </row>
    <row r="359" spans="1:12" x14ac:dyDescent="0.3">
      <c r="A359" s="7">
        <f>VLOOKUP(B359,Sheet3!A:B,2,0)</f>
        <v>46</v>
      </c>
      <c r="B359" s="6" t="s">
        <v>644</v>
      </c>
      <c r="C359" s="7">
        <v>20251128</v>
      </c>
      <c r="D359" s="7">
        <v>4</v>
      </c>
      <c r="E359" s="7" t="str">
        <f>VLOOKUP(B359,Sheet3!A:F,3,0)</f>
        <v>확률과 통계</v>
      </c>
      <c r="F359" s="7" t="str">
        <f>VLOOKUP(B359,Sheet3!A:F,4,0)</f>
        <v>1. 경우의 수</v>
      </c>
      <c r="G359" s="7" t="str">
        <f>VLOOKUP(B359,Sheet3!A:F,5,0)</f>
        <v>M. 여러 가지 순열과 중복 조합</v>
      </c>
      <c r="H359" s="7" t="str">
        <f>VLOOKUP(B359,Sheet3!A:F,6,0)</f>
        <v>중복 조합</v>
      </c>
      <c r="I359" s="7" t="str">
        <f>"mun/"&amp;C359&amp;".png"</f>
        <v>mun/20251128.png</v>
      </c>
      <c r="J359" s="7">
        <v>2</v>
      </c>
      <c r="K359" s="7">
        <v>1</v>
      </c>
      <c r="L359" s="6" t="s">
        <v>633</v>
      </c>
    </row>
    <row r="360" spans="1:12" x14ac:dyDescent="0.3">
      <c r="A360" s="7">
        <f>VLOOKUP(B360,Sheet3!A:B,2,0)</f>
        <v>58</v>
      </c>
      <c r="B360" s="6" t="s">
        <v>679</v>
      </c>
      <c r="C360" s="7">
        <v>20250926</v>
      </c>
      <c r="D360" s="7">
        <v>2</v>
      </c>
      <c r="E360" s="7" t="str">
        <f>VLOOKUP(B360,Sheet3!A:F,3,0)</f>
        <v>확률과 통계</v>
      </c>
      <c r="F360" s="7" t="str">
        <f>VLOOKUP(B360,Sheet3!A:F,4,0)</f>
        <v>3. 통계</v>
      </c>
      <c r="G360" s="7" t="str">
        <f>VLOOKUP(B360,Sheet3!A:F,5,0)</f>
        <v>R. 통계적 추정</v>
      </c>
      <c r="H360" s="7" t="str">
        <f>VLOOKUP(B360,Sheet3!A:F,6,0)</f>
        <v>표본평균의 분포</v>
      </c>
      <c r="I360" s="7" t="str">
        <f>"mun/"&amp;C360&amp;".png"</f>
        <v>mun/20250926.png</v>
      </c>
      <c r="J360" s="7">
        <v>3</v>
      </c>
      <c r="K360" s="7">
        <v>1</v>
      </c>
      <c r="L360" s="6" t="s">
        <v>627</v>
      </c>
    </row>
    <row r="361" spans="1:12" x14ac:dyDescent="0.3">
      <c r="A361" s="7">
        <f>VLOOKUP(B361,Sheet3!A:B,2,0)</f>
        <v>58</v>
      </c>
      <c r="B361" s="6" t="s">
        <v>679</v>
      </c>
      <c r="C361" s="7">
        <v>20251127</v>
      </c>
      <c r="D361" s="7">
        <v>3</v>
      </c>
      <c r="E361" s="7" t="str">
        <f>VLOOKUP(B361,Sheet3!A:F,3,0)</f>
        <v>확률과 통계</v>
      </c>
      <c r="F361" s="7" t="str">
        <f>VLOOKUP(B361,Sheet3!A:F,4,0)</f>
        <v>3. 통계</v>
      </c>
      <c r="G361" s="7" t="str">
        <f>VLOOKUP(B361,Sheet3!A:F,5,0)</f>
        <v>R. 통계적 추정</v>
      </c>
      <c r="H361" s="7" t="str">
        <f>VLOOKUP(B361,Sheet3!A:F,6,0)</f>
        <v>표본평균의 분포</v>
      </c>
      <c r="I361" s="7" t="str">
        <f>"mun/"&amp;C361&amp;".png"</f>
        <v>mun/20251127.png</v>
      </c>
      <c r="J361" s="7">
        <v>3</v>
      </c>
      <c r="K361" s="7">
        <v>1</v>
      </c>
      <c r="L361" s="6" t="s">
        <v>632</v>
      </c>
    </row>
    <row r="362" spans="1:12" x14ac:dyDescent="0.3">
      <c r="A362" s="7">
        <f>VLOOKUP(B362,Sheet3!A:B,2,0)</f>
        <v>2</v>
      </c>
      <c r="B362" s="6" t="s">
        <v>495</v>
      </c>
      <c r="C362" s="7">
        <v>20260601</v>
      </c>
      <c r="D362" s="7">
        <v>1</v>
      </c>
      <c r="E362" s="7" t="str">
        <f>VLOOKUP(B362,Sheet3!A:F,3,0)</f>
        <v>수학Ⅰ</v>
      </c>
      <c r="F362" s="7" t="str">
        <f>VLOOKUP(B362,Sheet3!A:F,4,0)</f>
        <v>1. 지수함수와 로그함수</v>
      </c>
      <c r="G362" s="7" t="str">
        <f>VLOOKUP(B362,Sheet3!A:F,5,0)</f>
        <v>A. 지수와 로그</v>
      </c>
      <c r="H362" s="7" t="str">
        <f>VLOOKUP(B362,Sheet3!A:F,6,0)</f>
        <v>지수의 연산</v>
      </c>
      <c r="I362" s="7" t="str">
        <f>"mun/"&amp;C362&amp;".png"</f>
        <v>mun/20260601.png</v>
      </c>
      <c r="J362" s="7">
        <v>2</v>
      </c>
      <c r="K362" s="7">
        <v>1</v>
      </c>
    </row>
    <row r="363" spans="1:12" x14ac:dyDescent="0.3">
      <c r="A363" s="7">
        <f>VLOOKUP(B363,Sheet3!A:B,2,0)</f>
        <v>28</v>
      </c>
      <c r="B363" s="6" t="s">
        <v>519</v>
      </c>
      <c r="C363" s="7">
        <v>20260602</v>
      </c>
      <c r="D363" s="7">
        <v>1</v>
      </c>
      <c r="E363" s="7" t="str">
        <f>VLOOKUP(B363,Sheet3!A:F,3,0)</f>
        <v>수학Ⅱ</v>
      </c>
      <c r="F363" s="7" t="str">
        <f>VLOOKUP(B363,Sheet3!A:F,4,0)</f>
        <v>2. 미분</v>
      </c>
      <c r="G363" s="7" t="str">
        <f>VLOOKUP(B363,Sheet3!A:F,5,0)</f>
        <v>I. 도함수</v>
      </c>
      <c r="H363" s="7" t="str">
        <f>VLOOKUP(B363,Sheet3!A:F,6,0)</f>
        <v>미분계수와 도함수</v>
      </c>
      <c r="I363" s="7" t="str">
        <f>"mun/"&amp;C363&amp;".png"</f>
        <v>mun/20260602.png</v>
      </c>
      <c r="J363" s="7">
        <v>1</v>
      </c>
      <c r="K363" s="7">
        <v>1</v>
      </c>
    </row>
    <row r="364" spans="1:12" x14ac:dyDescent="0.3">
      <c r="A364" s="7">
        <f>VLOOKUP(B364,Sheet3!A:B,2,0)</f>
        <v>18</v>
      </c>
      <c r="B364" s="6" t="s">
        <v>511</v>
      </c>
      <c r="C364" s="7">
        <v>20260603</v>
      </c>
      <c r="D364" s="7">
        <v>1</v>
      </c>
      <c r="E364" s="7" t="str">
        <f>VLOOKUP(B364,Sheet3!A:F,3,0)</f>
        <v>수학Ⅰ</v>
      </c>
      <c r="F364" s="7" t="str">
        <f>VLOOKUP(B364,Sheet3!A:F,4,0)</f>
        <v>3. 수열</v>
      </c>
      <c r="G364" s="7" t="str">
        <f>VLOOKUP(B364,Sheet3!A:F,5,0)</f>
        <v>E. 수열의 합</v>
      </c>
      <c r="H364" s="7" t="str">
        <f>VLOOKUP(B364,Sheet3!A:F,6,0)</f>
        <v>시그마의 뜻과 성질</v>
      </c>
      <c r="I364" s="7" t="str">
        <f>"mun/"&amp;C364&amp;".png"</f>
        <v>mun/20260603.png</v>
      </c>
      <c r="J364" s="7">
        <v>3</v>
      </c>
      <c r="K364" s="7">
        <v>1</v>
      </c>
    </row>
    <row r="365" spans="1:12" x14ac:dyDescent="0.3">
      <c r="A365" s="7">
        <f>VLOOKUP(B365,Sheet3!A:B,2,0)</f>
        <v>25</v>
      </c>
      <c r="B365" s="6" t="s">
        <v>517</v>
      </c>
      <c r="C365" s="7">
        <v>20260604</v>
      </c>
      <c r="D365" s="7">
        <v>2</v>
      </c>
      <c r="E365" s="7" t="str">
        <f>VLOOKUP(B365,Sheet3!A:F,3,0)</f>
        <v>수학Ⅱ</v>
      </c>
      <c r="F365" s="7" t="str">
        <f>VLOOKUP(B365,Sheet3!A:F,4,0)</f>
        <v>1. 함수의 극한과 연속</v>
      </c>
      <c r="G365" s="7" t="str">
        <f>VLOOKUP(B365,Sheet3!A:F,5,0)</f>
        <v>H. 함수의 연속</v>
      </c>
      <c r="H365" s="7" t="str">
        <f>VLOOKUP(B365,Sheet3!A:F,6,0)</f>
        <v>함수의 연속</v>
      </c>
      <c r="I365" s="7" t="str">
        <f>"mun/"&amp;C365&amp;".png"</f>
        <v>mun/20260604.png</v>
      </c>
      <c r="J365" s="7">
        <v>3</v>
      </c>
      <c r="K365" s="7">
        <v>1</v>
      </c>
    </row>
    <row r="366" spans="1:12" x14ac:dyDescent="0.3">
      <c r="A366" s="7">
        <f>VLOOKUP(B366,Sheet3!A:B,2,0)</f>
        <v>38</v>
      </c>
      <c r="B366" s="6" t="s">
        <v>529</v>
      </c>
      <c r="C366" s="7">
        <v>20260605</v>
      </c>
      <c r="D366" s="7">
        <v>2</v>
      </c>
      <c r="E366" s="7" t="str">
        <f>VLOOKUP(B366,Sheet3!A:F,3,0)</f>
        <v>수학Ⅱ</v>
      </c>
      <c r="F366" s="7" t="str">
        <f>VLOOKUP(B366,Sheet3!A:F,4,0)</f>
        <v>3. 적분</v>
      </c>
      <c r="G366" s="7" t="str">
        <f>VLOOKUP(B366,Sheet3!A:F,5,0)</f>
        <v>L. 정적분</v>
      </c>
      <c r="H366" s="7" t="str">
        <f>VLOOKUP(B366,Sheet3!A:F,6,0)</f>
        <v>정적분</v>
      </c>
      <c r="I366" s="7" t="str">
        <f>"mun/"&amp;C366&amp;".png"</f>
        <v>mun/20260605.png</v>
      </c>
      <c r="J366" s="7">
        <v>2</v>
      </c>
      <c r="K366" s="7">
        <v>1</v>
      </c>
    </row>
    <row r="367" spans="1:12" x14ac:dyDescent="0.3">
      <c r="A367" s="7">
        <f>VLOOKUP(B367,Sheet3!A:B,2,0)</f>
        <v>11</v>
      </c>
      <c r="B367" s="6" t="s">
        <v>504</v>
      </c>
      <c r="C367" s="7">
        <v>20260606</v>
      </c>
      <c r="D367" s="7">
        <v>2</v>
      </c>
      <c r="E367" s="7" t="str">
        <f>VLOOKUP(B367,Sheet3!A:F,3,0)</f>
        <v>수학Ⅰ</v>
      </c>
      <c r="F367" s="7" t="str">
        <f>VLOOKUP(B367,Sheet3!A:F,4,0)</f>
        <v>2. 삼각함수</v>
      </c>
      <c r="G367" s="7" t="str">
        <f>VLOOKUP(B367,Sheet3!A:F,5,0)</f>
        <v>C. 삼각함수</v>
      </c>
      <c r="H367" s="7" t="str">
        <f>VLOOKUP(B367,Sheet3!A:F,6,0)</f>
        <v>삼각함수의 그래프</v>
      </c>
      <c r="I367" s="7" t="str">
        <f>"mun/"&amp;C367&amp;".png"</f>
        <v>mun/20260606.png</v>
      </c>
      <c r="J367" s="7">
        <v>4</v>
      </c>
      <c r="K367" s="7">
        <v>1</v>
      </c>
    </row>
    <row r="368" spans="1:12" x14ac:dyDescent="0.3">
      <c r="A368" s="7">
        <f>VLOOKUP(B368,Sheet3!A:B,2,0)</f>
        <v>29</v>
      </c>
      <c r="B368" s="6" t="s">
        <v>520</v>
      </c>
      <c r="C368" s="7">
        <v>20260607</v>
      </c>
      <c r="D368" s="7">
        <v>2</v>
      </c>
      <c r="E368" s="7" t="str">
        <f>VLOOKUP(B368,Sheet3!A:F,3,0)</f>
        <v>수학Ⅱ</v>
      </c>
      <c r="F368" s="7" t="str">
        <f>VLOOKUP(B368,Sheet3!A:F,4,0)</f>
        <v>2. 미분</v>
      </c>
      <c r="G368" s="7" t="str">
        <f>VLOOKUP(B368,Sheet3!A:F,5,0)</f>
        <v>I. 도함수</v>
      </c>
      <c r="H368" s="7" t="str">
        <f>VLOOKUP(B368,Sheet3!A:F,6,0)</f>
        <v>곱함수의 미분법</v>
      </c>
      <c r="I368" s="7" t="str">
        <f>"mun/"&amp;C368&amp;".png"</f>
        <v>mun/20260607.png</v>
      </c>
      <c r="J368" s="7">
        <v>5</v>
      </c>
      <c r="K368" s="7">
        <v>1</v>
      </c>
    </row>
    <row r="369" spans="1:12" x14ac:dyDescent="0.3">
      <c r="A369" s="7">
        <f>VLOOKUP(B369,Sheet3!A:B,2,0)</f>
        <v>12</v>
      </c>
      <c r="B369" s="6" t="s">
        <v>505</v>
      </c>
      <c r="C369" s="7">
        <v>20260608</v>
      </c>
      <c r="D369" s="7">
        <v>2</v>
      </c>
      <c r="E369" s="7" t="str">
        <f>VLOOKUP(B369,Sheet3!A:F,3,0)</f>
        <v>수학Ⅰ</v>
      </c>
      <c r="F369" s="7" t="str">
        <f>VLOOKUP(B369,Sheet3!A:F,4,0)</f>
        <v>2. 삼각함수</v>
      </c>
      <c r="G369" s="7" t="str">
        <f>VLOOKUP(B369,Sheet3!A:F,5,0)</f>
        <v>C. 삼각함수</v>
      </c>
      <c r="H369" s="7" t="str">
        <f>VLOOKUP(B369,Sheet3!A:F,6,0)</f>
        <v>삼각함수의 값</v>
      </c>
      <c r="I369" s="7" t="str">
        <f>"mun/"&amp;C369&amp;".png"</f>
        <v>mun/20260608.png</v>
      </c>
      <c r="J369" s="7">
        <v>5</v>
      </c>
      <c r="K369" s="7">
        <v>1</v>
      </c>
    </row>
    <row r="370" spans="1:12" x14ac:dyDescent="0.3">
      <c r="A370" s="7">
        <f>VLOOKUP(B370,Sheet3!A:B,2,0)</f>
        <v>38</v>
      </c>
      <c r="B370" s="6" t="s">
        <v>529</v>
      </c>
      <c r="C370" s="7">
        <v>20260609</v>
      </c>
      <c r="D370" s="7">
        <v>3</v>
      </c>
      <c r="E370" s="7" t="str">
        <f>VLOOKUP(B370,Sheet3!A:F,3,0)</f>
        <v>수학Ⅱ</v>
      </c>
      <c r="F370" s="7" t="str">
        <f>VLOOKUP(B370,Sheet3!A:F,4,0)</f>
        <v>3. 적분</v>
      </c>
      <c r="G370" s="7" t="str">
        <f>VLOOKUP(B370,Sheet3!A:F,5,0)</f>
        <v>L. 정적분</v>
      </c>
      <c r="H370" s="7" t="str">
        <f>VLOOKUP(B370,Sheet3!A:F,6,0)</f>
        <v>정적분</v>
      </c>
      <c r="I370" s="7" t="str">
        <f>"mun/"&amp;C370&amp;".png"</f>
        <v>mun/20260609.png</v>
      </c>
      <c r="J370" s="7">
        <v>2</v>
      </c>
      <c r="K370" s="7">
        <v>1</v>
      </c>
    </row>
    <row r="371" spans="1:12" x14ac:dyDescent="0.3">
      <c r="A371" s="7">
        <f>VLOOKUP(B371,Sheet3!A:B,2,0)</f>
        <v>10</v>
      </c>
      <c r="B371" s="6" t="s">
        <v>503</v>
      </c>
      <c r="C371" s="7">
        <v>20260610</v>
      </c>
      <c r="D371" s="7">
        <v>3</v>
      </c>
      <c r="E371" s="7" t="str">
        <f>VLOOKUP(B371,Sheet3!A:F,3,0)</f>
        <v>수학Ⅰ</v>
      </c>
      <c r="F371" s="7" t="str">
        <f>VLOOKUP(B371,Sheet3!A:F,4,0)</f>
        <v>1. 지수함수와 로그함수</v>
      </c>
      <c r="G371" s="7" t="str">
        <f>VLOOKUP(B371,Sheet3!A:F,5,0)</f>
        <v>B. 지수함수와 로그함수</v>
      </c>
      <c r="H371" s="7" t="str">
        <f>VLOOKUP(B371,Sheet3!A:F,6,0)</f>
        <v>그래프에서 도형의 성질</v>
      </c>
      <c r="I371" s="7" t="str">
        <f>"mun/"&amp;C371&amp;".png"</f>
        <v>mun/20260610.png</v>
      </c>
      <c r="J371" s="7">
        <v>1</v>
      </c>
      <c r="K371" s="7">
        <v>1</v>
      </c>
    </row>
    <row r="372" spans="1:12" x14ac:dyDescent="0.3">
      <c r="A372" s="7">
        <f>VLOOKUP(B372,Sheet3!A:B,2,0)</f>
        <v>36</v>
      </c>
      <c r="B372" s="6" t="s">
        <v>527</v>
      </c>
      <c r="C372" s="7">
        <v>20260611</v>
      </c>
      <c r="D372" s="7">
        <v>3</v>
      </c>
      <c r="E372" s="7" t="str">
        <f>VLOOKUP(B372,Sheet3!A:F,3,0)</f>
        <v>수학Ⅱ</v>
      </c>
      <c r="F372" s="7" t="str">
        <f>VLOOKUP(B372,Sheet3!A:F,4,0)</f>
        <v>2. 미분</v>
      </c>
      <c r="G372" s="7" t="str">
        <f>VLOOKUP(B372,Sheet3!A:F,5,0)</f>
        <v>J. 도함수의 활용</v>
      </c>
      <c r="H372" s="7" t="str">
        <f>VLOOKUP(B372,Sheet3!A:F,6,0)</f>
        <v>속도와 가속도</v>
      </c>
      <c r="I372" s="7" t="str">
        <f>"mun/"&amp;C372&amp;".png"</f>
        <v>mun/20260611.png</v>
      </c>
      <c r="J372" s="7">
        <v>5</v>
      </c>
      <c r="K372" s="7">
        <v>1</v>
      </c>
    </row>
    <row r="373" spans="1:12" x14ac:dyDescent="0.3">
      <c r="A373" s="7">
        <f>VLOOKUP(B373,Sheet3!A:B,2,0)</f>
        <v>21</v>
      </c>
      <c r="B373" s="6" t="s">
        <v>514</v>
      </c>
      <c r="C373" s="7">
        <v>20260612</v>
      </c>
      <c r="D373" s="7">
        <v>4</v>
      </c>
      <c r="E373" s="7" t="str">
        <f>VLOOKUP(B373,Sheet3!A:F,3,0)</f>
        <v>수학Ⅰ</v>
      </c>
      <c r="F373" s="7" t="str">
        <f>VLOOKUP(B373,Sheet3!A:F,4,0)</f>
        <v>3. 수열</v>
      </c>
      <c r="G373" s="7" t="str">
        <f>VLOOKUP(B373,Sheet3!A:F,5,0)</f>
        <v>F. 수학적 귀납법</v>
      </c>
      <c r="H373" s="7" t="str">
        <f>VLOOKUP(B373,Sheet3!A:F,6,0)</f>
        <v>수열의 귀납적 정의</v>
      </c>
      <c r="I373" s="7" t="str">
        <f>"mun/"&amp;C373&amp;".png"</f>
        <v>mun/20260612.png</v>
      </c>
      <c r="J373" s="7">
        <v>2</v>
      </c>
      <c r="K373" s="7">
        <v>1</v>
      </c>
    </row>
    <row r="374" spans="1:12" x14ac:dyDescent="0.3">
      <c r="A374" s="7">
        <f>VLOOKUP(B374,Sheet3!A:B,2,0)</f>
        <v>40</v>
      </c>
      <c r="B374" s="6" t="s">
        <v>531</v>
      </c>
      <c r="C374" s="7">
        <v>20260613</v>
      </c>
      <c r="D374" s="7">
        <v>4</v>
      </c>
      <c r="E374" s="7" t="str">
        <f>VLOOKUP(B374,Sheet3!A:F,3,0)</f>
        <v>수학Ⅱ</v>
      </c>
      <c r="F374" s="7" t="str">
        <f>VLOOKUP(B374,Sheet3!A:F,4,0)</f>
        <v>3. 적분</v>
      </c>
      <c r="G374" s="7" t="str">
        <f>VLOOKUP(B374,Sheet3!A:F,5,0)</f>
        <v>L. 정적분</v>
      </c>
      <c r="H374" s="7" t="str">
        <f>VLOOKUP(B374,Sheet3!A:F,6,0)</f>
        <v>곡선 사이의 넓이</v>
      </c>
      <c r="I374" s="7" t="str">
        <f>"mun/"&amp;C374&amp;".png"</f>
        <v>mun/20260613.png</v>
      </c>
      <c r="J374" s="7">
        <v>4</v>
      </c>
      <c r="K374" s="7">
        <v>1</v>
      </c>
    </row>
    <row r="375" spans="1:12" x14ac:dyDescent="0.3">
      <c r="A375" s="7">
        <f>VLOOKUP(B375,Sheet3!A:B,2,0)</f>
        <v>15</v>
      </c>
      <c r="B375" s="6" t="s">
        <v>508</v>
      </c>
      <c r="C375" s="7">
        <v>20260614</v>
      </c>
      <c r="D375" s="7">
        <v>4</v>
      </c>
      <c r="E375" s="7" t="str">
        <f>VLOOKUP(B375,Sheet3!A:F,3,0)</f>
        <v>수학Ⅰ</v>
      </c>
      <c r="F375" s="7" t="str">
        <f>VLOOKUP(B375,Sheet3!A:F,4,0)</f>
        <v>2. 삼각함수</v>
      </c>
      <c r="G375" s="7" t="str">
        <f>VLOOKUP(B375,Sheet3!A:F,5,0)</f>
        <v>C. 삼각함수</v>
      </c>
      <c r="H375" s="7" t="str">
        <f>VLOOKUP(B375,Sheet3!A:F,6,0)</f>
        <v>사인법칙과 코사인법칙</v>
      </c>
      <c r="I375" s="7" t="str">
        <f>"mun/"&amp;C375&amp;".png"</f>
        <v>mun/20260614.png</v>
      </c>
      <c r="J375" s="7">
        <v>2</v>
      </c>
      <c r="K375" s="7">
        <v>1</v>
      </c>
    </row>
    <row r="376" spans="1:12" x14ac:dyDescent="0.3">
      <c r="A376" s="7">
        <f>VLOOKUP(B376,Sheet3!A:B,2,0)</f>
        <v>35</v>
      </c>
      <c r="B376" s="6" t="s">
        <v>526</v>
      </c>
      <c r="C376" s="7">
        <v>20260615</v>
      </c>
      <c r="D376" s="7">
        <v>5</v>
      </c>
      <c r="E376" s="7" t="str">
        <f>VLOOKUP(B376,Sheet3!A:F,3,0)</f>
        <v>수학Ⅱ</v>
      </c>
      <c r="F376" s="7" t="str">
        <f>VLOOKUP(B376,Sheet3!A:F,4,0)</f>
        <v>2. 미분</v>
      </c>
      <c r="G376" s="7" t="str">
        <f>VLOOKUP(B376,Sheet3!A:F,5,0)</f>
        <v>J. 도함수의 활용</v>
      </c>
      <c r="H376" s="7" t="str">
        <f>VLOOKUP(B376,Sheet3!A:F,6,0)</f>
        <v>함수의 추론</v>
      </c>
      <c r="I376" s="7" t="str">
        <f>"mun/"&amp;C376&amp;".png"</f>
        <v>mun/20260615.png</v>
      </c>
      <c r="J376" s="7">
        <v>1</v>
      </c>
      <c r="K376" s="7">
        <v>1</v>
      </c>
    </row>
    <row r="377" spans="1:12" x14ac:dyDescent="0.3">
      <c r="A377" s="7">
        <f>VLOOKUP(B377,Sheet3!A:B,2,0)</f>
        <v>6</v>
      </c>
      <c r="B377" s="6" t="s">
        <v>499</v>
      </c>
      <c r="C377" s="7">
        <v>20260616</v>
      </c>
      <c r="D377" s="7">
        <v>1</v>
      </c>
      <c r="E377" s="7" t="str">
        <f>VLOOKUP(B377,Sheet3!A:F,3,0)</f>
        <v>수학Ⅰ</v>
      </c>
      <c r="F377" s="7" t="str">
        <f>VLOOKUP(B377,Sheet3!A:F,4,0)</f>
        <v>1. 지수함수와 로그함수</v>
      </c>
      <c r="G377" s="7" t="str">
        <f>VLOOKUP(B377,Sheet3!A:F,5,0)</f>
        <v>B. 지수함수와 로그함수</v>
      </c>
      <c r="H377" s="7" t="str">
        <f>VLOOKUP(B377,Sheet3!A:F,6,0)</f>
        <v>방정식과 부등식에의 활용</v>
      </c>
      <c r="I377" s="7" t="str">
        <f>"mun/"&amp;C377&amp;".png"</f>
        <v>mun/20260616.png</v>
      </c>
      <c r="J377" s="7">
        <v>2</v>
      </c>
      <c r="K377" s="7">
        <v>1</v>
      </c>
    </row>
    <row r="378" spans="1:12" x14ac:dyDescent="0.3">
      <c r="A378" s="7">
        <f>VLOOKUP(B378,Sheet3!A:B,2,0)</f>
        <v>38</v>
      </c>
      <c r="B378" s="6" t="s">
        <v>529</v>
      </c>
      <c r="C378" s="7">
        <v>20260617</v>
      </c>
      <c r="D378" s="7">
        <v>1</v>
      </c>
      <c r="E378" s="7" t="str">
        <f>VLOOKUP(B378,Sheet3!A:F,3,0)</f>
        <v>수학Ⅱ</v>
      </c>
      <c r="F378" s="7" t="str">
        <f>VLOOKUP(B378,Sheet3!A:F,4,0)</f>
        <v>3. 적분</v>
      </c>
      <c r="G378" s="7" t="str">
        <f>VLOOKUP(B378,Sheet3!A:F,5,0)</f>
        <v>L. 정적분</v>
      </c>
      <c r="H378" s="7" t="str">
        <f>VLOOKUP(B378,Sheet3!A:F,6,0)</f>
        <v>정적분</v>
      </c>
      <c r="I378" s="7" t="str">
        <f>"mun/"&amp;C378&amp;".png"</f>
        <v>mun/20260617.png</v>
      </c>
      <c r="J378" s="7">
        <v>6</v>
      </c>
      <c r="K378" s="7">
        <v>1</v>
      </c>
    </row>
    <row r="379" spans="1:12" x14ac:dyDescent="0.3">
      <c r="A379" s="7">
        <f>VLOOKUP(B379,Sheet3!A:B,2,0)</f>
        <v>18</v>
      </c>
      <c r="B379" s="6" t="s">
        <v>511</v>
      </c>
      <c r="C379" s="7">
        <v>20260618</v>
      </c>
      <c r="D379" s="7">
        <v>3</v>
      </c>
      <c r="E379" s="7" t="str">
        <f>VLOOKUP(B379,Sheet3!A:F,3,0)</f>
        <v>수학Ⅰ</v>
      </c>
      <c r="F379" s="7" t="str">
        <f>VLOOKUP(B379,Sheet3!A:F,4,0)</f>
        <v>3. 수열</v>
      </c>
      <c r="G379" s="7" t="str">
        <f>VLOOKUP(B379,Sheet3!A:F,5,0)</f>
        <v>E. 수열의 합</v>
      </c>
      <c r="H379" s="7" t="str">
        <f>VLOOKUP(B379,Sheet3!A:F,6,0)</f>
        <v>시그마의 뜻과 성질</v>
      </c>
      <c r="I379" s="7" t="str">
        <f>"mun/"&amp;C379&amp;".png"</f>
        <v>mun/20260618.png</v>
      </c>
      <c r="J379" s="7">
        <v>133</v>
      </c>
      <c r="K379" s="7">
        <v>1</v>
      </c>
    </row>
    <row r="380" spans="1:12" x14ac:dyDescent="0.3">
      <c r="A380" s="7">
        <f>VLOOKUP(B380,Sheet3!A:B,2,0)</f>
        <v>33</v>
      </c>
      <c r="B380" s="6" t="s">
        <v>524</v>
      </c>
      <c r="C380" s="7">
        <v>20260619</v>
      </c>
      <c r="D380" s="7">
        <v>3</v>
      </c>
      <c r="E380" s="7" t="str">
        <f>VLOOKUP(B380,Sheet3!A:F,3,0)</f>
        <v>수학Ⅱ</v>
      </c>
      <c r="F380" s="7" t="str">
        <f>VLOOKUP(B380,Sheet3!A:F,4,0)</f>
        <v>2. 미분</v>
      </c>
      <c r="G380" s="7" t="str">
        <f>VLOOKUP(B380,Sheet3!A:F,5,0)</f>
        <v>J. 도함수의 활용</v>
      </c>
      <c r="H380" s="7" t="str">
        <f>VLOOKUP(B380,Sheet3!A:F,6,0)</f>
        <v>극대와 극소</v>
      </c>
      <c r="I380" s="7" t="str">
        <f>"mun/"&amp;C380&amp;".png"</f>
        <v>mun/20260619.png</v>
      </c>
      <c r="J380" s="7">
        <v>8</v>
      </c>
      <c r="K380" s="7">
        <v>1</v>
      </c>
    </row>
    <row r="381" spans="1:12" x14ac:dyDescent="0.3">
      <c r="A381" s="7">
        <f>VLOOKUP(B381,Sheet3!A:B,2,0)</f>
        <v>16</v>
      </c>
      <c r="B381" s="6" t="s">
        <v>509</v>
      </c>
      <c r="C381" s="7">
        <v>20260620</v>
      </c>
      <c r="D381" s="7">
        <v>4</v>
      </c>
      <c r="E381" s="7" t="str">
        <f>VLOOKUP(B381,Sheet3!A:F,3,0)</f>
        <v>수학Ⅰ</v>
      </c>
      <c r="F381" s="7" t="str">
        <f>VLOOKUP(B381,Sheet3!A:F,4,0)</f>
        <v>3. 수열</v>
      </c>
      <c r="G381" s="7" t="str">
        <f>VLOOKUP(B381,Sheet3!A:F,5,0)</f>
        <v>D. 등차수열과 등비수열</v>
      </c>
      <c r="H381" s="7" t="str">
        <f>VLOOKUP(B381,Sheet3!A:F,6,0)</f>
        <v>등차수열</v>
      </c>
      <c r="I381" s="7" t="str">
        <f>"mun/"&amp;C381&amp;".png"</f>
        <v>mun/20260620.png</v>
      </c>
      <c r="J381" s="7">
        <v>85</v>
      </c>
      <c r="K381" s="7">
        <v>1</v>
      </c>
    </row>
    <row r="382" spans="1:12" x14ac:dyDescent="0.3">
      <c r="A382" s="7">
        <f>VLOOKUP(B382,Sheet3!A:B,2,0)</f>
        <v>27</v>
      </c>
      <c r="B382" s="6" t="s">
        <v>518</v>
      </c>
      <c r="C382" s="7">
        <v>20260621</v>
      </c>
      <c r="D382" s="7">
        <v>4</v>
      </c>
      <c r="E382" s="7" t="str">
        <f>VLOOKUP(B382,Sheet3!A:F,3,0)</f>
        <v>수학Ⅱ</v>
      </c>
      <c r="F382" s="7" t="str">
        <f>VLOOKUP(B382,Sheet3!A:F,4,0)</f>
        <v>1. 함수의 극한과 연속</v>
      </c>
      <c r="G382" s="7" t="str">
        <f>VLOOKUP(B382,Sheet3!A:F,5,0)</f>
        <v>H. 함수의 연속</v>
      </c>
      <c r="H382" s="7" t="str">
        <f>VLOOKUP(B382,Sheet3!A:F,6,0)</f>
        <v>조건을 만족하는 함수의 추론</v>
      </c>
      <c r="I382" s="7" t="str">
        <f>"mun/"&amp;C382&amp;".png"</f>
        <v>mun/20260621.png</v>
      </c>
      <c r="J382" s="7">
        <v>42</v>
      </c>
      <c r="K382" s="7">
        <v>1</v>
      </c>
    </row>
    <row r="383" spans="1:12" x14ac:dyDescent="0.3">
      <c r="A383" s="7">
        <f>VLOOKUP(B383,Sheet3!A:B,2,0)</f>
        <v>5</v>
      </c>
      <c r="B383" s="6" t="s">
        <v>498</v>
      </c>
      <c r="C383" s="7">
        <v>20260622</v>
      </c>
      <c r="D383" s="7">
        <v>5</v>
      </c>
      <c r="E383" s="7" t="str">
        <f>VLOOKUP(B383,Sheet3!A:F,3,0)</f>
        <v>수학Ⅰ</v>
      </c>
      <c r="F383" s="7" t="str">
        <f>VLOOKUP(B383,Sheet3!A:F,4,0)</f>
        <v>1. 지수함수와 로그함수</v>
      </c>
      <c r="G383" s="7" t="str">
        <f>VLOOKUP(B383,Sheet3!A:F,5,0)</f>
        <v>B. 지수함수와 로그함수</v>
      </c>
      <c r="H383" s="7" t="str">
        <f>VLOOKUP(B383,Sheet3!A:F,6,0)</f>
        <v>로그함수의 그래프</v>
      </c>
      <c r="I383" s="7" t="str">
        <f>"mun/"&amp;C383&amp;".png"</f>
        <v>mun/20260622.png</v>
      </c>
      <c r="J383" s="7">
        <v>38</v>
      </c>
      <c r="K383" s="7">
        <v>1</v>
      </c>
    </row>
    <row r="384" spans="1:12" x14ac:dyDescent="0.3">
      <c r="A384" s="7" t="e">
        <f>VLOOKUP(B384,Sheet3!A:B,2,0)</f>
        <v>#N/A</v>
      </c>
      <c r="C384" s="7">
        <v>20260623</v>
      </c>
      <c r="D384" s="7">
        <v>1</v>
      </c>
      <c r="E384" s="7" t="e">
        <f>VLOOKUP(B384,Sheet3!A:F,3,0)</f>
        <v>#N/A</v>
      </c>
      <c r="F384" s="7" t="e">
        <f>VLOOKUP(B384,Sheet3!A:F,4,0)</f>
        <v>#N/A</v>
      </c>
      <c r="G384" s="7" t="e">
        <f>VLOOKUP(B384,Sheet3!A:F,5,0)</f>
        <v>#N/A</v>
      </c>
      <c r="H384" s="7" t="e">
        <f>VLOOKUP(B384,Sheet3!A:F,6,0)</f>
        <v>#N/A</v>
      </c>
      <c r="I384" s="7" t="str">
        <f>"mun/"&amp;C384&amp;".png"</f>
        <v>mun/20260623.png</v>
      </c>
      <c r="J384" s="7">
        <v>3</v>
      </c>
      <c r="K384" s="7">
        <v>1</v>
      </c>
      <c r="L384" s="6" t="s">
        <v>636</v>
      </c>
    </row>
    <row r="385" spans="1:12" x14ac:dyDescent="0.3">
      <c r="A385" s="7" t="e">
        <f>VLOOKUP(B385,Sheet3!A:B,2,0)</f>
        <v>#N/A</v>
      </c>
      <c r="C385" s="7">
        <v>20260624</v>
      </c>
      <c r="D385" s="7">
        <v>1</v>
      </c>
      <c r="E385" s="7" t="e">
        <f>VLOOKUP(B385,Sheet3!A:F,3,0)</f>
        <v>#N/A</v>
      </c>
      <c r="F385" s="7" t="e">
        <f>VLOOKUP(B385,Sheet3!A:F,4,0)</f>
        <v>#N/A</v>
      </c>
      <c r="G385" s="7" t="e">
        <f>VLOOKUP(B385,Sheet3!A:F,5,0)</f>
        <v>#N/A</v>
      </c>
      <c r="H385" s="7" t="e">
        <f>VLOOKUP(B385,Sheet3!A:F,6,0)</f>
        <v>#N/A</v>
      </c>
      <c r="I385" s="7" t="str">
        <f>"mun/"&amp;C385&amp;".png"</f>
        <v>mun/20260624.png</v>
      </c>
      <c r="J385" s="7">
        <v>4</v>
      </c>
      <c r="K385" s="7">
        <v>1</v>
      </c>
      <c r="L385" s="6" t="s">
        <v>637</v>
      </c>
    </row>
    <row r="386" spans="1:12" x14ac:dyDescent="0.3">
      <c r="A386" s="7" t="e">
        <f>VLOOKUP(B386,Sheet3!A:B,2,0)</f>
        <v>#N/A</v>
      </c>
      <c r="C386" s="7">
        <v>20260625</v>
      </c>
      <c r="D386" s="7">
        <v>2</v>
      </c>
      <c r="E386" s="7" t="e">
        <f>VLOOKUP(B386,Sheet3!A:F,3,0)</f>
        <v>#N/A</v>
      </c>
      <c r="F386" s="7" t="e">
        <f>VLOOKUP(B386,Sheet3!A:F,4,0)</f>
        <v>#N/A</v>
      </c>
      <c r="G386" s="7" t="e">
        <f>VLOOKUP(B386,Sheet3!A:F,5,0)</f>
        <v>#N/A</v>
      </c>
      <c r="H386" s="7" t="e">
        <f>VLOOKUP(B386,Sheet3!A:F,6,0)</f>
        <v>#N/A</v>
      </c>
      <c r="I386" s="7" t="str">
        <f>"mun/"&amp;C386&amp;".png"</f>
        <v>mun/20260625.png</v>
      </c>
      <c r="J386" s="7">
        <v>3</v>
      </c>
      <c r="K386" s="7">
        <v>1</v>
      </c>
      <c r="L386" s="6" t="s">
        <v>638</v>
      </c>
    </row>
    <row r="387" spans="1:12" x14ac:dyDescent="0.3">
      <c r="A387" s="7" t="e">
        <f>VLOOKUP(B387,Sheet3!A:B,2,0)</f>
        <v>#N/A</v>
      </c>
      <c r="C387" s="7">
        <v>20260626</v>
      </c>
      <c r="D387" s="7">
        <v>2</v>
      </c>
      <c r="E387" s="7" t="e">
        <f>VLOOKUP(B387,Sheet3!A:F,3,0)</f>
        <v>#N/A</v>
      </c>
      <c r="F387" s="7" t="e">
        <f>VLOOKUP(B387,Sheet3!A:F,4,0)</f>
        <v>#N/A</v>
      </c>
      <c r="G387" s="7" t="e">
        <f>VLOOKUP(B387,Sheet3!A:F,5,0)</f>
        <v>#N/A</v>
      </c>
      <c r="H387" s="7" t="e">
        <f>VLOOKUP(B387,Sheet3!A:F,6,0)</f>
        <v>#N/A</v>
      </c>
      <c r="I387" s="7" t="str">
        <f>"mun/"&amp;C387&amp;".png"</f>
        <v>mun/20260626.png</v>
      </c>
      <c r="J387" s="7">
        <v>5</v>
      </c>
      <c r="K387" s="7">
        <v>1</v>
      </c>
      <c r="L387" s="6" t="s">
        <v>639</v>
      </c>
    </row>
    <row r="388" spans="1:12" x14ac:dyDescent="0.3">
      <c r="A388" s="7" t="e">
        <f>VLOOKUP(B388,Sheet3!A:B,2,0)</f>
        <v>#N/A</v>
      </c>
      <c r="C388" s="7">
        <v>20260627</v>
      </c>
      <c r="D388" s="7">
        <v>3</v>
      </c>
      <c r="E388" s="7" t="e">
        <f>VLOOKUP(B388,Sheet3!A:F,3,0)</f>
        <v>#N/A</v>
      </c>
      <c r="F388" s="7" t="e">
        <f>VLOOKUP(B388,Sheet3!A:F,4,0)</f>
        <v>#N/A</v>
      </c>
      <c r="G388" s="7" t="e">
        <f>VLOOKUP(B388,Sheet3!A:F,5,0)</f>
        <v>#N/A</v>
      </c>
      <c r="H388" s="7" t="e">
        <f>VLOOKUP(B388,Sheet3!A:F,6,0)</f>
        <v>#N/A</v>
      </c>
      <c r="I388" s="7" t="str">
        <f>"mun/"&amp;C388&amp;".png"</f>
        <v>mun/20260627.png</v>
      </c>
      <c r="J388" s="7">
        <v>1</v>
      </c>
      <c r="K388" s="7">
        <v>1</v>
      </c>
      <c r="L388" s="6" t="s">
        <v>640</v>
      </c>
    </row>
    <row r="389" spans="1:12" x14ac:dyDescent="0.3">
      <c r="A389" s="7" t="e">
        <f>VLOOKUP(B389,Sheet3!A:B,2,0)</f>
        <v>#N/A</v>
      </c>
      <c r="C389" s="7">
        <v>20260628</v>
      </c>
      <c r="D389" s="7">
        <v>4</v>
      </c>
      <c r="E389" s="7" t="e">
        <f>VLOOKUP(B389,Sheet3!A:F,3,0)</f>
        <v>#N/A</v>
      </c>
      <c r="F389" s="7" t="e">
        <f>VLOOKUP(B389,Sheet3!A:F,4,0)</f>
        <v>#N/A</v>
      </c>
      <c r="G389" s="7" t="e">
        <f>VLOOKUP(B389,Sheet3!A:F,5,0)</f>
        <v>#N/A</v>
      </c>
      <c r="H389" s="7" t="e">
        <f>VLOOKUP(B389,Sheet3!A:F,6,0)</f>
        <v>#N/A</v>
      </c>
      <c r="I389" s="7" t="str">
        <f>"mun/"&amp;C389&amp;".png"</f>
        <v>mun/20260628.png</v>
      </c>
      <c r="J389" s="7">
        <v>5</v>
      </c>
      <c r="K389" s="7">
        <v>1</v>
      </c>
      <c r="L389" s="6" t="s">
        <v>641</v>
      </c>
    </row>
    <row r="390" spans="1:12" x14ac:dyDescent="0.3">
      <c r="A390" s="7" t="e">
        <f>VLOOKUP(B390,Sheet3!A:B,2,0)</f>
        <v>#N/A</v>
      </c>
      <c r="C390" s="7">
        <v>20260629</v>
      </c>
      <c r="D390" s="7">
        <v>4</v>
      </c>
      <c r="E390" s="7" t="e">
        <f>VLOOKUP(B390,Sheet3!A:F,3,0)</f>
        <v>#N/A</v>
      </c>
      <c r="F390" s="7" t="e">
        <f>VLOOKUP(B390,Sheet3!A:F,4,0)</f>
        <v>#N/A</v>
      </c>
      <c r="G390" s="7" t="e">
        <f>VLOOKUP(B390,Sheet3!A:F,5,0)</f>
        <v>#N/A</v>
      </c>
      <c r="H390" s="7" t="e">
        <f>VLOOKUP(B390,Sheet3!A:F,6,0)</f>
        <v>#N/A</v>
      </c>
      <c r="I390" s="7" t="str">
        <f>"mun/"&amp;C390&amp;".png"</f>
        <v>mun/20260629.png</v>
      </c>
      <c r="J390" s="7">
        <v>44</v>
      </c>
      <c r="K390" s="7">
        <v>1</v>
      </c>
      <c r="L390" s="6" t="s">
        <v>642</v>
      </c>
    </row>
    <row r="391" spans="1:12" x14ac:dyDescent="0.3">
      <c r="A391" s="7" t="e">
        <f>VLOOKUP(B391,Sheet3!A:B,2,0)</f>
        <v>#N/A</v>
      </c>
      <c r="C391" s="7">
        <v>20260630</v>
      </c>
      <c r="D391" s="7">
        <v>5</v>
      </c>
      <c r="E391" s="7" t="e">
        <f>VLOOKUP(B391,Sheet3!A:F,3,0)</f>
        <v>#N/A</v>
      </c>
      <c r="F391" s="7" t="e">
        <f>VLOOKUP(B391,Sheet3!A:F,4,0)</f>
        <v>#N/A</v>
      </c>
      <c r="G391" s="7" t="e">
        <f>VLOOKUP(B391,Sheet3!A:F,5,0)</f>
        <v>#N/A</v>
      </c>
      <c r="H391" s="7" t="e">
        <f>VLOOKUP(B391,Sheet3!A:F,6,0)</f>
        <v>#N/A</v>
      </c>
      <c r="I391" s="7" t="str">
        <f>"mun/"&amp;C391&amp;".png"</f>
        <v>mun/20260630.png</v>
      </c>
      <c r="J391" s="7">
        <v>115</v>
      </c>
      <c r="K391" s="7">
        <v>1</v>
      </c>
      <c r="L391" s="6" t="s">
        <v>643</v>
      </c>
    </row>
  </sheetData>
  <autoFilter ref="A1:L391" xr:uid="{4467DA2F-4BCC-4672-A598-0838AC66E2CF}">
    <sortState xmlns:xlrd2="http://schemas.microsoft.com/office/spreadsheetml/2017/richdata2" ref="A25:L391">
      <sortCondition ref="B1:B391"/>
    </sortState>
  </autoFilter>
  <phoneticPr fontId="1" type="noConversion"/>
  <conditionalFormatting sqref="L1:L1048576">
    <cfRule type="duplicateValues" dxfId="1" priority="2"/>
  </conditionalFormatting>
  <conditionalFormatting sqref="A1:L1048576">
    <cfRule type="cellIs" dxfId="0" priority="1" operator="equal">
      <formula>0</formula>
    </cfRule>
  </conditionalFormatting>
  <hyperlinks>
    <hyperlink ref="L332" r:id="rId1" xr:uid="{BB5DF3B4-C65C-42EA-B8CE-EAC482CAF431}"/>
    <hyperlink ref="L333" r:id="rId2" xr:uid="{75C51C35-946C-469C-A266-29D248404EEF}"/>
    <hyperlink ref="L334" r:id="rId3" xr:uid="{64BAD658-9729-4A89-8818-6CDEF8000895}"/>
    <hyperlink ref="L335" r:id="rId4" xr:uid="{E0A62B2B-BB4A-4FB2-8EA6-E41F392EA3FF}"/>
    <hyperlink ref="L337" r:id="rId5" xr:uid="{7372F237-A862-4377-B99A-3E35D653D43B}"/>
    <hyperlink ref="L336" r:id="rId6" xr:uid="{9539F712-9466-4AC4-8CAB-31B0A4A83497}"/>
    <hyperlink ref="L338" r:id="rId7" xr:uid="{08EFBD3C-68DD-4285-AFB5-5B66CCEF8A05}"/>
    <hyperlink ref="L339" r:id="rId8" xr:uid="{47BC4853-0CEE-40D6-B30F-A88D739CFA22}"/>
    <hyperlink ref="L340" r:id="rId9" xr:uid="{83E73290-FB8F-4652-B079-278EBBC4B1DF}"/>
    <hyperlink ref="L341" r:id="rId10" xr:uid="{14E97E31-8D2A-454F-BA82-392F6D31EAC8}"/>
    <hyperlink ref="L342" r:id="rId11" xr:uid="{BBB522AE-D5C0-4B41-A226-5B2C98B21B77}"/>
    <hyperlink ref="L343" r:id="rId12" xr:uid="{82641788-547E-4DBE-B47D-B9965C8DD4F5}"/>
    <hyperlink ref="L344" r:id="rId13" xr:uid="{C72D935A-4D96-4D70-B0FF-2497FF8C2EB7}"/>
    <hyperlink ref="L345" r:id="rId14" xr:uid="{BBBFBDAD-A9FC-401C-A642-A3292EA301F8}"/>
    <hyperlink ref="L346" r:id="rId15" xr:uid="{8548DCD4-11E1-453B-A871-4BFBF3B3A511}"/>
    <hyperlink ref="L347" r:id="rId16" xr:uid="{EF46F73D-21EB-4DD5-975F-1C15319EBFA2}"/>
    <hyperlink ref="L348" r:id="rId17" xr:uid="{6CAED0D4-5F49-42DC-B7CB-C64789C7ED9D}"/>
    <hyperlink ref="L349" r:id="rId18" xr:uid="{1D1D9141-2194-46CC-A14E-882B08A2192C}"/>
    <hyperlink ref="L350" r:id="rId19" xr:uid="{ECC4BB15-F1F2-4AA0-878C-DADF62945639}"/>
    <hyperlink ref="L351" r:id="rId20" xr:uid="{670B3B1E-171E-424B-ADBC-A48D667D0144}"/>
    <hyperlink ref="L352" r:id="rId21" xr:uid="{93DD7346-6CE1-4FA9-AFC5-34FB78F7B7D8}"/>
    <hyperlink ref="L353" r:id="rId22" xr:uid="{F7ED20BA-01CA-4192-BFCC-F33D7A77052D}"/>
    <hyperlink ref="L302" r:id="rId23" xr:uid="{0B8C637C-AD80-408A-8751-FB6B5701DDDF}"/>
    <hyperlink ref="L303" r:id="rId24" xr:uid="{8BFC4545-AA68-4999-A50D-4C9F3FD35CDE}"/>
    <hyperlink ref="L304" r:id="rId25" xr:uid="{3B6ABCE4-7BA2-41F0-B4E0-EDDB5ABB722B}"/>
    <hyperlink ref="L305" r:id="rId26" xr:uid="{B16D693C-03E5-45DF-B300-18519A2B385E}"/>
    <hyperlink ref="L306" r:id="rId27" xr:uid="{CAE34CD8-6BA6-4197-9EE6-B2477C4B1C71}"/>
    <hyperlink ref="L307" r:id="rId28" xr:uid="{86F098E1-43B5-407E-A98C-AE5A02EFBD5B}"/>
    <hyperlink ref="L308" r:id="rId29" xr:uid="{1141C24C-9512-474A-A4B1-A75915986CCE}"/>
    <hyperlink ref="L309" r:id="rId30" xr:uid="{70CFB126-3CC6-49CB-A830-91DF7EF604F0}"/>
    <hyperlink ref="L310" r:id="rId31" xr:uid="{7E202982-986F-4493-A50E-0285320C2561}"/>
    <hyperlink ref="L311" r:id="rId32" xr:uid="{C109E53C-BF19-45B6-B608-EDDC1BFD8960}"/>
    <hyperlink ref="L312" r:id="rId33" xr:uid="{94E87B6C-5665-49D7-8DD2-B241CF5BD62E}"/>
    <hyperlink ref="L313" r:id="rId34" xr:uid="{65E72ED6-FEBB-4BC8-88A3-05F78B87DEA7}"/>
    <hyperlink ref="L314" r:id="rId35" xr:uid="{8A965D61-211B-4B7F-851D-ED1B38B1063A}"/>
    <hyperlink ref="L315" r:id="rId36" xr:uid="{062BAB90-CF34-415C-A577-7E10028F7C28}"/>
    <hyperlink ref="L316" r:id="rId37" xr:uid="{B6531C20-7086-45FC-86EB-8D696B464F63}"/>
    <hyperlink ref="L317" r:id="rId38" xr:uid="{05CAD1A3-F90E-4FF3-A7D1-F04BA669AD64}"/>
    <hyperlink ref="L318" r:id="rId39" xr:uid="{5748402C-47A4-48E2-83C4-0D1D5C73E9EF}"/>
    <hyperlink ref="L319" r:id="rId40" xr:uid="{6085DFB2-951E-47E5-ADB8-B58DC085E003}"/>
    <hyperlink ref="L320" r:id="rId41" xr:uid="{D9A07BC4-0354-49ED-B8D6-A2AC5D7AFEF7}"/>
    <hyperlink ref="L321" r:id="rId42" xr:uid="{6F175EE1-6FF0-43DF-A2F9-6D8A7E65FCBC}"/>
    <hyperlink ref="L322" r:id="rId43" xr:uid="{31B62CB1-BCDA-4C88-8090-AA330C3A9A92}"/>
    <hyperlink ref="L323" r:id="rId44" xr:uid="{8A1ED007-F229-4388-A25B-BD9A2215D94F}"/>
    <hyperlink ref="L272" r:id="rId45" display="https://WSTR.ebsi.co.kr/M41M2401/S20240000260/S20240000260_1M4_100030054380.mp4" xr:uid="{D73F470F-E84B-4ABD-84B7-D7B716B17DE6}"/>
    <hyperlink ref="L293" r:id="rId46" xr:uid="{BEBA6E8B-3BC8-404B-BB8B-572F48DF6BC3}"/>
    <hyperlink ref="L233" r:id="rId47" xr:uid="{03B4E380-7B97-4E91-8416-CD56C175C8DC}"/>
    <hyperlink ref="L232" r:id="rId48" xr:uid="{D2958F7B-0426-43C5-BDC6-C88966B41B33}"/>
    <hyperlink ref="L165" r:id="rId49" xr:uid="{8BD141B0-DEB5-4219-B9B0-52E7DF68BFB1}"/>
    <hyperlink ref="L113" r:id="rId50" xr:uid="{CE679D30-56B1-48FA-997D-50BD0C315E22}"/>
    <hyperlink ref="L81" r:id="rId51" xr:uid="{5C029B26-9D97-4A2F-84DF-147F3869A1AD}"/>
    <hyperlink ref="L59" r:id="rId52" xr:uid="{9B04DE72-1381-4922-AC1D-FE2E3101C471}"/>
    <hyperlink ref="L27" r:id="rId53" xr:uid="{5C4C6B8D-9569-43EF-B3D0-078A62E9D61D}"/>
    <hyperlink ref="L61" r:id="rId54" xr:uid="{2A231E16-4D8F-496C-9F8D-C79E6CA55AE5}"/>
    <hyperlink ref="L120" r:id="rId55" xr:uid="{5CA7FF70-303D-4F34-88CB-504E68032EBF}"/>
    <hyperlink ref="L206" r:id="rId56" xr:uid="{DB4D9008-AE3A-4B7C-A611-88CD9530B5E6}"/>
    <hyperlink ref="L57" r:id="rId57" xr:uid="{0A5C0260-1A39-472E-9212-8D2C554A3995}"/>
    <hyperlink ref="L356" r:id="rId58" xr:uid="{99BCB358-D7FA-4304-A284-AB6C4D6EFF5F}"/>
    <hyperlink ref="L151" r:id="rId59" xr:uid="{2C734AF8-A5B6-49D7-A3DB-178E6066A014}"/>
    <hyperlink ref="L211" r:id="rId60" xr:uid="{4A101BDB-117E-48E4-B5C0-3BF7F376BAFC}"/>
    <hyperlink ref="L181" r:id="rId61" xr:uid="{DB372794-3BFD-4D21-952E-0EFAC990E194}"/>
    <hyperlink ref="L209" r:id="rId62" xr:uid="{4E1741D9-0401-4261-93F3-167030D5290E}"/>
    <hyperlink ref="L88" r:id="rId63" xr:uid="{A9E5F4A1-A676-420A-8002-3B18FD47ACFF}"/>
    <hyperlink ref="L91" r:id="rId64" xr:uid="{D16D9CAA-3555-466E-8CA6-26736825133A}"/>
    <hyperlink ref="L357" r:id="rId65" xr:uid="{6C4B630A-3CC4-4824-AB28-1B9665A9309A}"/>
    <hyperlink ref="L176" r:id="rId66" xr:uid="{86900311-8B7E-46EE-B343-4C8D87C1A3B6}"/>
    <hyperlink ref="L241" r:id="rId67" xr:uid="{85BD4659-1BFD-45A0-8566-E7B46E27CC96}"/>
    <hyperlink ref="L237" r:id="rId68" xr:uid="{5384B6A3-00FE-4AE2-95F5-B5EA1C5A2BB7}"/>
    <hyperlink ref="L301" r:id="rId69" xr:uid="{AD090251-2506-4201-B09A-6632C485140D}"/>
    <hyperlink ref="L269" r:id="rId70" xr:uid="{24DDDD41-AF7E-491C-91B9-B3371F935B96}"/>
    <hyperlink ref="L299" r:id="rId71" xr:uid="{840CD9A2-6047-4EC9-BFA5-EA12C7276E47}"/>
    <hyperlink ref="L238" r:id="rId72" xr:uid="{2AD78D23-8E56-4DC8-A970-5E0BFB50F226}"/>
    <hyperlink ref="L331" r:id="rId73" xr:uid="{58318020-0258-49C0-8504-D2E8B90AE00C}"/>
    <hyperlink ref="L148" r:id="rId74" xr:uid="{B8117B37-172D-4AD7-AFFB-893759574F02}"/>
  </hyperlinks>
  <pageMargins left="0.7" right="0.7" top="0.75" bottom="0.75" header="0.3" footer="0.3"/>
  <pageSetup paperSize="9" orientation="portrait" r:id="rId75"/>
  <drawing r:id="rId7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B4802A-89B0-452B-865A-93A548000ACB}">
          <x14:formula1>
            <xm:f>Sheet3!$A$1:$A$59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66247-12BD-4E77-9119-590D92E963C9}">
  <sheetPr codeName="Sheet4"/>
  <dimension ref="A1:H65"/>
  <sheetViews>
    <sheetView topLeftCell="A41" workbookViewId="0">
      <selection activeCell="E58" sqref="E58:E65"/>
    </sheetView>
  </sheetViews>
  <sheetFormatPr defaultRowHeight="16.5" x14ac:dyDescent="0.3"/>
  <sheetData>
    <row r="1" spans="1:8" x14ac:dyDescent="0.3">
      <c r="A1" t="s">
        <v>477</v>
      </c>
      <c r="B1" t="s">
        <v>478</v>
      </c>
      <c r="C1" t="s">
        <v>479</v>
      </c>
      <c r="H1" t="s">
        <v>557</v>
      </c>
    </row>
    <row r="2" spans="1:8" x14ac:dyDescent="0.3">
      <c r="A2" s="9" t="s">
        <v>556</v>
      </c>
    </row>
    <row r="3" spans="1:8" x14ac:dyDescent="0.3">
      <c r="A3">
        <v>1</v>
      </c>
      <c r="B3">
        <v>2</v>
      </c>
      <c r="C3">
        <v>5</v>
      </c>
      <c r="D3">
        <f>B3*60+C3</f>
        <v>125</v>
      </c>
      <c r="E3" t="str">
        <f>"https://ebsi.co.kr/ebs/lms/player/retrieveLmsPlayerHtml5Simple.ebs?medUrl="&amp;$A$2&amp;"&amp;strStartTm="&amp;D3&amp;"&amp;pType=2"</f>
        <v>https://ebsi.co.kr/ebs/lms/player/retrieveLmsPlayerHtml5Simple.ebs?medUrl=https://WSTR.ebsi.co.kr/M41M2101/S20210000761/S20210000761_1M4_100030001261.mp4&amp;strStartTm=125&amp;pType=2</v>
      </c>
    </row>
    <row r="4" spans="1:8" x14ac:dyDescent="0.3">
      <c r="A4">
        <v>3</v>
      </c>
      <c r="B4">
        <v>4</v>
      </c>
      <c r="C4">
        <v>3</v>
      </c>
      <c r="D4">
        <f t="shared" ref="D4:D25" si="0">B4*60+C4</f>
        <v>243</v>
      </c>
      <c r="E4" t="str">
        <f t="shared" ref="E4:E13" si="1">"https://ebsi.co.kr/ebs/lms/player/retrieveLmsPlayerHtml5Simple.ebs?medUrl="&amp;$A$2&amp;"&amp;strStartTm="&amp;D4&amp;"&amp;pType=2"</f>
        <v>https://ebsi.co.kr/ebs/lms/player/retrieveLmsPlayerHtml5Simple.ebs?medUrl=https://WSTR.ebsi.co.kr/M41M2101/S20210000761/S20210000761_1M4_100030001261.mp4&amp;strStartTm=243&amp;pType=2</v>
      </c>
    </row>
    <row r="5" spans="1:8" x14ac:dyDescent="0.3">
      <c r="A5">
        <v>7</v>
      </c>
      <c r="B5">
        <v>7</v>
      </c>
      <c r="C5">
        <v>57</v>
      </c>
      <c r="D5">
        <f t="shared" si="0"/>
        <v>477</v>
      </c>
      <c r="E5" t="str">
        <f t="shared" si="1"/>
        <v>https://ebsi.co.kr/ebs/lms/player/retrieveLmsPlayerHtml5Simple.ebs?medUrl=https://WSTR.ebsi.co.kr/M41M2101/S20210000761/S20210000761_1M4_100030001261.mp4&amp;strStartTm=477&amp;pType=2</v>
      </c>
    </row>
    <row r="6" spans="1:8" x14ac:dyDescent="0.3">
      <c r="A6">
        <v>9</v>
      </c>
      <c r="B6">
        <v>12</v>
      </c>
      <c r="C6">
        <v>46</v>
      </c>
      <c r="D6">
        <f t="shared" si="0"/>
        <v>766</v>
      </c>
      <c r="E6" t="str">
        <f t="shared" si="1"/>
        <v>https://ebsi.co.kr/ebs/lms/player/retrieveLmsPlayerHtml5Simple.ebs?medUrl=https://WSTR.ebsi.co.kr/M41M2101/S20210000761/S20210000761_1M4_100030001261.mp4&amp;strStartTm=766&amp;pType=2</v>
      </c>
    </row>
    <row r="7" spans="1:8" x14ac:dyDescent="0.3">
      <c r="A7">
        <v>10</v>
      </c>
      <c r="B7">
        <v>16</v>
      </c>
      <c r="C7">
        <v>35</v>
      </c>
      <c r="D7">
        <f t="shared" si="0"/>
        <v>995</v>
      </c>
      <c r="E7" t="str">
        <f t="shared" si="1"/>
        <v>https://ebsi.co.kr/ebs/lms/player/retrieveLmsPlayerHtml5Simple.ebs?medUrl=https://WSTR.ebsi.co.kr/M41M2101/S20210000761/S20210000761_1M4_100030001261.mp4&amp;strStartTm=995&amp;pType=2</v>
      </c>
    </row>
    <row r="8" spans="1:8" x14ac:dyDescent="0.3">
      <c r="A8">
        <v>12</v>
      </c>
      <c r="B8">
        <v>22</v>
      </c>
      <c r="C8">
        <v>24</v>
      </c>
      <c r="D8">
        <f t="shared" si="0"/>
        <v>1344</v>
      </c>
      <c r="E8" t="str">
        <f t="shared" si="1"/>
        <v>https://ebsi.co.kr/ebs/lms/player/retrieveLmsPlayerHtml5Simple.ebs?medUrl=https://WSTR.ebsi.co.kr/M41M2101/S20210000761/S20210000761_1M4_100030001261.mp4&amp;strStartTm=1344&amp;pType=2</v>
      </c>
    </row>
    <row r="9" spans="1:8" x14ac:dyDescent="0.3">
      <c r="A9">
        <v>13</v>
      </c>
      <c r="B9">
        <v>30</v>
      </c>
      <c r="C9">
        <v>52</v>
      </c>
      <c r="D9">
        <f t="shared" si="0"/>
        <v>1852</v>
      </c>
      <c r="E9" t="str">
        <f t="shared" si="1"/>
        <v>https://ebsi.co.kr/ebs/lms/player/retrieveLmsPlayerHtml5Simple.ebs?medUrl=https://WSTR.ebsi.co.kr/M41M2101/S20210000761/S20210000761_1M4_100030001261.mp4&amp;strStartTm=1852&amp;pType=2</v>
      </c>
    </row>
    <row r="10" spans="1:8" x14ac:dyDescent="0.3">
      <c r="A10">
        <v>15</v>
      </c>
      <c r="B10">
        <v>38</v>
      </c>
      <c r="C10">
        <v>54</v>
      </c>
      <c r="D10">
        <f t="shared" si="0"/>
        <v>2334</v>
      </c>
      <c r="E10" t="str">
        <f t="shared" si="1"/>
        <v>https://ebsi.co.kr/ebs/lms/player/retrieveLmsPlayerHtml5Simple.ebs?medUrl=https://WSTR.ebsi.co.kr/M41M2101/S20210000761/S20210000761_1M4_100030001261.mp4&amp;strStartTm=2334&amp;pType=2</v>
      </c>
    </row>
    <row r="11" spans="1:8" x14ac:dyDescent="0.3">
      <c r="A11">
        <v>16</v>
      </c>
      <c r="B11">
        <v>50</v>
      </c>
      <c r="C11">
        <v>2</v>
      </c>
      <c r="D11">
        <f t="shared" si="0"/>
        <v>3002</v>
      </c>
      <c r="E11" t="str">
        <f t="shared" si="1"/>
        <v>https://ebsi.co.kr/ebs/lms/player/retrieveLmsPlayerHtml5Simple.ebs?medUrl=https://WSTR.ebsi.co.kr/M41M2101/S20210000761/S20210000761_1M4_100030001261.mp4&amp;strStartTm=3002&amp;pType=2</v>
      </c>
    </row>
    <row r="12" spans="1:8" x14ac:dyDescent="0.3">
      <c r="A12">
        <v>18</v>
      </c>
      <c r="B12">
        <v>51</v>
      </c>
      <c r="C12">
        <v>12</v>
      </c>
      <c r="D12">
        <f t="shared" si="0"/>
        <v>3072</v>
      </c>
      <c r="E12" t="str">
        <f t="shared" si="1"/>
        <v>https://ebsi.co.kr/ebs/lms/player/retrieveLmsPlayerHtml5Simple.ebs?medUrl=https://WSTR.ebsi.co.kr/M41M2101/S20210000761/S20210000761_1M4_100030001261.mp4&amp;strStartTm=3072&amp;pType=2</v>
      </c>
    </row>
    <row r="13" spans="1:8" x14ac:dyDescent="0.3">
      <c r="A13">
        <v>21</v>
      </c>
      <c r="B13">
        <v>53</v>
      </c>
      <c r="C13">
        <v>0</v>
      </c>
      <c r="D13">
        <f t="shared" si="0"/>
        <v>3180</v>
      </c>
      <c r="E13" t="str">
        <f t="shared" si="1"/>
        <v>https://ebsi.co.kr/ebs/lms/player/retrieveLmsPlayerHtml5Simple.ebs?medUrl=https://WSTR.ebsi.co.kr/M41M2101/S20210000761/S20210000761_1M4_100030001261.mp4&amp;strStartTm=3180&amp;pType=2</v>
      </c>
    </row>
    <row r="14" spans="1:8" x14ac:dyDescent="0.3">
      <c r="A14" s="9" t="s">
        <v>454</v>
      </c>
    </row>
    <row r="15" spans="1:8" x14ac:dyDescent="0.3">
      <c r="A15">
        <v>2</v>
      </c>
      <c r="B15">
        <v>3</v>
      </c>
      <c r="C15">
        <v>35</v>
      </c>
      <c r="D15">
        <f t="shared" si="0"/>
        <v>215</v>
      </c>
      <c r="E15" t="str">
        <f>"https://ebsi.co.kr/ebs/lms/player/retrieveLmsPlayerHtml5Simple.ebs?medUrl="&amp;$A$14&amp;"&amp;strStartTm="&amp;D15&amp;"&amp;pType=2"</f>
        <v>https://ebsi.co.kr/ebs/lms/player/retrieveLmsPlayerHtml5Simple.ebs?medUrl=https://WSTR.ebsi.co.kr/M41M2101/S20210000761/S20210000761_1M4_100030001259.mp4&amp;strStartTm=215&amp;pType=2</v>
      </c>
    </row>
    <row r="16" spans="1:8" x14ac:dyDescent="0.3">
      <c r="A16">
        <v>4</v>
      </c>
      <c r="B16">
        <v>5</v>
      </c>
      <c r="C16">
        <v>4</v>
      </c>
      <c r="D16">
        <f t="shared" si="0"/>
        <v>304</v>
      </c>
      <c r="E16" t="str">
        <f t="shared" ref="E16:E25" si="2">"https://ebsi.co.kr/ebs/lms/player/retrieveLmsPlayerHtml5Simple.ebs?medUrl="&amp;$A$14&amp;"&amp;strStartTm="&amp;D16&amp;"&amp;pType=2"</f>
        <v>https://ebsi.co.kr/ebs/lms/player/retrieveLmsPlayerHtml5Simple.ebs?medUrl=https://WSTR.ebsi.co.kr/M41M2101/S20210000761/S20210000761_1M4_100030001259.mp4&amp;strStartTm=304&amp;pType=2</v>
      </c>
    </row>
    <row r="17" spans="1:5" x14ac:dyDescent="0.3">
      <c r="A17">
        <v>5</v>
      </c>
      <c r="B17">
        <v>6</v>
      </c>
      <c r="C17">
        <v>37</v>
      </c>
      <c r="D17">
        <f t="shared" si="0"/>
        <v>397</v>
      </c>
      <c r="E17" t="str">
        <f t="shared" si="2"/>
        <v>https://ebsi.co.kr/ebs/lms/player/retrieveLmsPlayerHtml5Simple.ebs?medUrl=https://WSTR.ebsi.co.kr/M41M2101/S20210000761/S20210000761_1M4_100030001259.mp4&amp;strStartTm=397&amp;pType=2</v>
      </c>
    </row>
    <row r="18" spans="1:5" x14ac:dyDescent="0.3">
      <c r="A18">
        <v>6</v>
      </c>
      <c r="B18">
        <v>8</v>
      </c>
      <c r="C18">
        <v>30</v>
      </c>
      <c r="D18">
        <f t="shared" si="0"/>
        <v>510</v>
      </c>
      <c r="E18" t="str">
        <f t="shared" si="2"/>
        <v>https://ebsi.co.kr/ebs/lms/player/retrieveLmsPlayerHtml5Simple.ebs?medUrl=https://WSTR.ebsi.co.kr/M41M2101/S20210000761/S20210000761_1M4_100030001259.mp4&amp;strStartTm=510&amp;pType=2</v>
      </c>
    </row>
    <row r="19" spans="1:5" x14ac:dyDescent="0.3">
      <c r="A19">
        <v>8</v>
      </c>
      <c r="B19">
        <v>12</v>
      </c>
      <c r="C19">
        <v>6</v>
      </c>
      <c r="D19">
        <f t="shared" si="0"/>
        <v>726</v>
      </c>
      <c r="E19" t="str">
        <f t="shared" si="2"/>
        <v>https://ebsi.co.kr/ebs/lms/player/retrieveLmsPlayerHtml5Simple.ebs?medUrl=https://WSTR.ebsi.co.kr/M41M2101/S20210000761/S20210000761_1M4_100030001259.mp4&amp;strStartTm=726&amp;pType=2</v>
      </c>
    </row>
    <row r="20" spans="1:5" x14ac:dyDescent="0.3">
      <c r="A20">
        <v>11</v>
      </c>
      <c r="B20">
        <v>16</v>
      </c>
      <c r="C20">
        <v>10</v>
      </c>
      <c r="D20">
        <f t="shared" si="0"/>
        <v>970</v>
      </c>
      <c r="E20" t="str">
        <f t="shared" si="2"/>
        <v>https://ebsi.co.kr/ebs/lms/player/retrieveLmsPlayerHtml5Simple.ebs?medUrl=https://WSTR.ebsi.co.kr/M41M2101/S20210000761/S20210000761_1M4_100030001259.mp4&amp;strStartTm=970&amp;pType=2</v>
      </c>
    </row>
    <row r="21" spans="1:5" x14ac:dyDescent="0.3">
      <c r="A21">
        <v>14</v>
      </c>
      <c r="B21">
        <v>23</v>
      </c>
      <c r="C21">
        <v>16</v>
      </c>
      <c r="D21">
        <f t="shared" si="0"/>
        <v>1396</v>
      </c>
      <c r="E21" t="str">
        <f t="shared" si="2"/>
        <v>https://ebsi.co.kr/ebs/lms/player/retrieveLmsPlayerHtml5Simple.ebs?medUrl=https://WSTR.ebsi.co.kr/M41M2101/S20210000761/S20210000761_1M4_100030001259.mp4&amp;strStartTm=1396&amp;pType=2</v>
      </c>
    </row>
    <row r="22" spans="1:5" x14ac:dyDescent="0.3">
      <c r="A22">
        <v>17</v>
      </c>
      <c r="B22">
        <v>36</v>
      </c>
      <c r="C22">
        <v>33</v>
      </c>
      <c r="D22">
        <f t="shared" si="0"/>
        <v>2193</v>
      </c>
      <c r="E22" t="str">
        <f t="shared" si="2"/>
        <v>https://ebsi.co.kr/ebs/lms/player/retrieveLmsPlayerHtml5Simple.ebs?medUrl=https://WSTR.ebsi.co.kr/M41M2101/S20210000761/S20210000761_1M4_100030001259.mp4&amp;strStartTm=2193&amp;pType=2</v>
      </c>
    </row>
    <row r="23" spans="1:5" x14ac:dyDescent="0.3">
      <c r="A23">
        <v>19</v>
      </c>
      <c r="B23">
        <v>37</v>
      </c>
      <c r="C23">
        <v>59</v>
      </c>
      <c r="D23">
        <f t="shared" si="0"/>
        <v>2279</v>
      </c>
      <c r="E23" t="str">
        <f t="shared" si="2"/>
        <v>https://ebsi.co.kr/ebs/lms/player/retrieveLmsPlayerHtml5Simple.ebs?medUrl=https://WSTR.ebsi.co.kr/M41M2101/S20210000761/S20210000761_1M4_100030001259.mp4&amp;strStartTm=2279&amp;pType=2</v>
      </c>
    </row>
    <row r="24" spans="1:5" x14ac:dyDescent="0.3">
      <c r="A24">
        <v>20</v>
      </c>
      <c r="B24">
        <v>42</v>
      </c>
      <c r="C24">
        <v>59</v>
      </c>
      <c r="D24">
        <f t="shared" si="0"/>
        <v>2579</v>
      </c>
      <c r="E24" t="str">
        <f t="shared" si="2"/>
        <v>https://ebsi.co.kr/ebs/lms/player/retrieveLmsPlayerHtml5Simple.ebs?medUrl=https://WSTR.ebsi.co.kr/M41M2101/S20210000761/S20210000761_1M4_100030001259.mp4&amp;strStartTm=2579&amp;pType=2</v>
      </c>
    </row>
    <row r="25" spans="1:5" x14ac:dyDescent="0.3">
      <c r="A25">
        <v>22</v>
      </c>
      <c r="B25">
        <v>56</v>
      </c>
      <c r="C25">
        <v>23</v>
      </c>
      <c r="D25">
        <f t="shared" si="0"/>
        <v>3383</v>
      </c>
      <c r="E25" t="str">
        <f t="shared" si="2"/>
        <v>https://ebsi.co.kr/ebs/lms/player/retrieveLmsPlayerHtml5Simple.ebs?medUrl=https://WSTR.ebsi.co.kr/M41M2101/S20210000761/S20210000761_1M4_100030001259.mp4&amp;strStartTm=3383&amp;pType=2</v>
      </c>
    </row>
    <row r="28" spans="1:5" x14ac:dyDescent="0.3">
      <c r="A28">
        <v>1</v>
      </c>
      <c r="B28" t="str">
        <f>VLOOKUP(A28,$A$2:$E$25,5,0)</f>
        <v>https://ebsi.co.kr/ebs/lms/player/retrieveLmsPlayerHtml5Simple.ebs?medUrl=https://WSTR.ebsi.co.kr/M41M2101/S20210000761/S20210000761_1M4_100030001261.mp4&amp;strStartTm=125&amp;pType=2</v>
      </c>
    </row>
    <row r="29" spans="1:5" x14ac:dyDescent="0.3">
      <c r="A29">
        <v>2</v>
      </c>
      <c r="B29" t="str">
        <f t="shared" ref="B29:B49" si="3">VLOOKUP(A29,$A$2:$E$25,5,0)</f>
        <v>https://ebsi.co.kr/ebs/lms/player/retrieveLmsPlayerHtml5Simple.ebs?medUrl=https://WSTR.ebsi.co.kr/M41M2101/S20210000761/S20210000761_1M4_100030001259.mp4&amp;strStartTm=215&amp;pType=2</v>
      </c>
    </row>
    <row r="30" spans="1:5" x14ac:dyDescent="0.3">
      <c r="A30">
        <v>3</v>
      </c>
      <c r="B30" t="str">
        <f t="shared" si="3"/>
        <v>https://ebsi.co.kr/ebs/lms/player/retrieveLmsPlayerHtml5Simple.ebs?medUrl=https://WSTR.ebsi.co.kr/M41M2101/S20210000761/S20210000761_1M4_100030001261.mp4&amp;strStartTm=243&amp;pType=2</v>
      </c>
    </row>
    <row r="31" spans="1:5" x14ac:dyDescent="0.3">
      <c r="A31">
        <v>4</v>
      </c>
      <c r="B31" t="str">
        <f t="shared" si="3"/>
        <v>https://ebsi.co.kr/ebs/lms/player/retrieveLmsPlayerHtml5Simple.ebs?medUrl=https://WSTR.ebsi.co.kr/M41M2101/S20210000761/S20210000761_1M4_100030001259.mp4&amp;strStartTm=304&amp;pType=2</v>
      </c>
    </row>
    <row r="32" spans="1:5" x14ac:dyDescent="0.3">
      <c r="A32">
        <v>5</v>
      </c>
      <c r="B32" t="str">
        <f t="shared" si="3"/>
        <v>https://ebsi.co.kr/ebs/lms/player/retrieveLmsPlayerHtml5Simple.ebs?medUrl=https://WSTR.ebsi.co.kr/M41M2101/S20210000761/S20210000761_1M4_100030001259.mp4&amp;strStartTm=397&amp;pType=2</v>
      </c>
    </row>
    <row r="33" spans="1:2" x14ac:dyDescent="0.3">
      <c r="A33">
        <v>6</v>
      </c>
      <c r="B33" t="str">
        <f t="shared" si="3"/>
        <v>https://ebsi.co.kr/ebs/lms/player/retrieveLmsPlayerHtml5Simple.ebs?medUrl=https://WSTR.ebsi.co.kr/M41M2101/S20210000761/S20210000761_1M4_100030001259.mp4&amp;strStartTm=510&amp;pType=2</v>
      </c>
    </row>
    <row r="34" spans="1:2" x14ac:dyDescent="0.3">
      <c r="A34">
        <v>7</v>
      </c>
      <c r="B34" t="str">
        <f t="shared" si="3"/>
        <v>https://ebsi.co.kr/ebs/lms/player/retrieveLmsPlayerHtml5Simple.ebs?medUrl=https://WSTR.ebsi.co.kr/M41M2101/S20210000761/S20210000761_1M4_100030001261.mp4&amp;strStartTm=477&amp;pType=2</v>
      </c>
    </row>
    <row r="35" spans="1:2" x14ac:dyDescent="0.3">
      <c r="A35">
        <v>8</v>
      </c>
      <c r="B35" t="str">
        <f t="shared" si="3"/>
        <v>https://ebsi.co.kr/ebs/lms/player/retrieveLmsPlayerHtml5Simple.ebs?medUrl=https://WSTR.ebsi.co.kr/M41M2101/S20210000761/S20210000761_1M4_100030001259.mp4&amp;strStartTm=726&amp;pType=2</v>
      </c>
    </row>
    <row r="36" spans="1:2" x14ac:dyDescent="0.3">
      <c r="A36">
        <v>9</v>
      </c>
      <c r="B36" t="str">
        <f t="shared" si="3"/>
        <v>https://ebsi.co.kr/ebs/lms/player/retrieveLmsPlayerHtml5Simple.ebs?medUrl=https://WSTR.ebsi.co.kr/M41M2101/S20210000761/S20210000761_1M4_100030001261.mp4&amp;strStartTm=766&amp;pType=2</v>
      </c>
    </row>
    <row r="37" spans="1:2" x14ac:dyDescent="0.3">
      <c r="A37">
        <v>10</v>
      </c>
      <c r="B37" t="str">
        <f t="shared" si="3"/>
        <v>https://ebsi.co.kr/ebs/lms/player/retrieveLmsPlayerHtml5Simple.ebs?medUrl=https://WSTR.ebsi.co.kr/M41M2101/S20210000761/S20210000761_1M4_100030001261.mp4&amp;strStartTm=995&amp;pType=2</v>
      </c>
    </row>
    <row r="38" spans="1:2" x14ac:dyDescent="0.3">
      <c r="A38">
        <v>11</v>
      </c>
      <c r="B38" t="str">
        <f t="shared" si="3"/>
        <v>https://ebsi.co.kr/ebs/lms/player/retrieveLmsPlayerHtml5Simple.ebs?medUrl=https://WSTR.ebsi.co.kr/M41M2101/S20210000761/S20210000761_1M4_100030001259.mp4&amp;strStartTm=970&amp;pType=2</v>
      </c>
    </row>
    <row r="39" spans="1:2" x14ac:dyDescent="0.3">
      <c r="A39">
        <v>12</v>
      </c>
      <c r="B39" t="str">
        <f t="shared" si="3"/>
        <v>https://ebsi.co.kr/ebs/lms/player/retrieveLmsPlayerHtml5Simple.ebs?medUrl=https://WSTR.ebsi.co.kr/M41M2101/S20210000761/S20210000761_1M4_100030001261.mp4&amp;strStartTm=1344&amp;pType=2</v>
      </c>
    </row>
    <row r="40" spans="1:2" x14ac:dyDescent="0.3">
      <c r="A40">
        <v>13</v>
      </c>
      <c r="B40" t="str">
        <f t="shared" si="3"/>
        <v>https://ebsi.co.kr/ebs/lms/player/retrieveLmsPlayerHtml5Simple.ebs?medUrl=https://WSTR.ebsi.co.kr/M41M2101/S20210000761/S20210000761_1M4_100030001261.mp4&amp;strStartTm=1852&amp;pType=2</v>
      </c>
    </row>
    <row r="41" spans="1:2" x14ac:dyDescent="0.3">
      <c r="A41">
        <v>14</v>
      </c>
      <c r="B41" t="str">
        <f t="shared" si="3"/>
        <v>https://ebsi.co.kr/ebs/lms/player/retrieveLmsPlayerHtml5Simple.ebs?medUrl=https://WSTR.ebsi.co.kr/M41M2101/S20210000761/S20210000761_1M4_100030001259.mp4&amp;strStartTm=1396&amp;pType=2</v>
      </c>
    </row>
    <row r="42" spans="1:2" x14ac:dyDescent="0.3">
      <c r="A42">
        <v>15</v>
      </c>
      <c r="B42" t="str">
        <f t="shared" si="3"/>
        <v>https://ebsi.co.kr/ebs/lms/player/retrieveLmsPlayerHtml5Simple.ebs?medUrl=https://WSTR.ebsi.co.kr/M41M2101/S20210000761/S20210000761_1M4_100030001261.mp4&amp;strStartTm=2334&amp;pType=2</v>
      </c>
    </row>
    <row r="43" spans="1:2" x14ac:dyDescent="0.3">
      <c r="A43">
        <v>16</v>
      </c>
      <c r="B43" t="str">
        <f t="shared" si="3"/>
        <v>https://ebsi.co.kr/ebs/lms/player/retrieveLmsPlayerHtml5Simple.ebs?medUrl=https://WSTR.ebsi.co.kr/M41M2101/S20210000761/S20210000761_1M4_100030001261.mp4&amp;strStartTm=3002&amp;pType=2</v>
      </c>
    </row>
    <row r="44" spans="1:2" x14ac:dyDescent="0.3">
      <c r="A44">
        <v>17</v>
      </c>
      <c r="B44" t="str">
        <f t="shared" si="3"/>
        <v>https://ebsi.co.kr/ebs/lms/player/retrieveLmsPlayerHtml5Simple.ebs?medUrl=https://WSTR.ebsi.co.kr/M41M2101/S20210000761/S20210000761_1M4_100030001259.mp4&amp;strStartTm=2193&amp;pType=2</v>
      </c>
    </row>
    <row r="45" spans="1:2" x14ac:dyDescent="0.3">
      <c r="A45">
        <v>18</v>
      </c>
      <c r="B45" t="str">
        <f t="shared" si="3"/>
        <v>https://ebsi.co.kr/ebs/lms/player/retrieveLmsPlayerHtml5Simple.ebs?medUrl=https://WSTR.ebsi.co.kr/M41M2101/S20210000761/S20210000761_1M4_100030001261.mp4&amp;strStartTm=3072&amp;pType=2</v>
      </c>
    </row>
    <row r="46" spans="1:2" x14ac:dyDescent="0.3">
      <c r="A46">
        <v>19</v>
      </c>
      <c r="B46" t="str">
        <f t="shared" si="3"/>
        <v>https://ebsi.co.kr/ebs/lms/player/retrieveLmsPlayerHtml5Simple.ebs?medUrl=https://WSTR.ebsi.co.kr/M41M2101/S20210000761/S20210000761_1M4_100030001259.mp4&amp;strStartTm=2279&amp;pType=2</v>
      </c>
    </row>
    <row r="47" spans="1:2" x14ac:dyDescent="0.3">
      <c r="A47">
        <v>20</v>
      </c>
      <c r="B47" t="str">
        <f t="shared" si="3"/>
        <v>https://ebsi.co.kr/ebs/lms/player/retrieveLmsPlayerHtml5Simple.ebs?medUrl=https://WSTR.ebsi.co.kr/M41M2101/S20210000761/S20210000761_1M4_100030001259.mp4&amp;strStartTm=2579&amp;pType=2</v>
      </c>
    </row>
    <row r="48" spans="1:2" x14ac:dyDescent="0.3">
      <c r="A48">
        <v>21</v>
      </c>
      <c r="B48" t="str">
        <f t="shared" si="3"/>
        <v>https://ebsi.co.kr/ebs/lms/player/retrieveLmsPlayerHtml5Simple.ebs?medUrl=https://WSTR.ebsi.co.kr/M41M2101/S20210000761/S20210000761_1M4_100030001261.mp4&amp;strStartTm=3180&amp;pType=2</v>
      </c>
    </row>
    <row r="49" spans="1:8" x14ac:dyDescent="0.3">
      <c r="A49">
        <v>22</v>
      </c>
      <c r="B49" t="str">
        <f t="shared" si="3"/>
        <v>https://ebsi.co.kr/ebs/lms/player/retrieveLmsPlayerHtml5Simple.ebs?medUrl=https://WSTR.ebsi.co.kr/M41M2101/S20210000761/S20210000761_1M4_100030001259.mp4&amp;strStartTm=3383&amp;pType=2</v>
      </c>
    </row>
    <row r="56" spans="1:8" x14ac:dyDescent="0.3">
      <c r="A56" t="s">
        <v>477</v>
      </c>
      <c r="B56" t="s">
        <v>478</v>
      </c>
      <c r="C56" t="s">
        <v>479</v>
      </c>
      <c r="H56" t="s">
        <v>558</v>
      </c>
    </row>
    <row r="57" spans="1:8" x14ac:dyDescent="0.3">
      <c r="A57" s="9" t="s">
        <v>635</v>
      </c>
    </row>
    <row r="58" spans="1:8" x14ac:dyDescent="0.3">
      <c r="A58">
        <v>23</v>
      </c>
      <c r="B58">
        <v>6</v>
      </c>
      <c r="C58">
        <v>3</v>
      </c>
      <c r="D58">
        <f>B58*60+C58</f>
        <v>363</v>
      </c>
      <c r="E58" t="str">
        <f>"https://ebsi.co.kr/ebs/lms/player/retrieveLmsPlayerHtml5Simple.ebs?medUrl="&amp;$A$57&amp;"&amp;strStartTm="&amp;D58&amp;"&amp;pType=2"</f>
        <v>https://ebsi.co.kr/ebs/lms/player/retrieveLmsPlayerHtml5Simple.ebs?medUrl=https://WSTR.ebsi.co.kr/M41M2501/S20250000256/S20250000256_1M4_100030069839.mp4&amp;strStartTm=363&amp;pType=2</v>
      </c>
    </row>
    <row r="59" spans="1:8" x14ac:dyDescent="0.3">
      <c r="A59">
        <v>24</v>
      </c>
      <c r="B59">
        <v>6</v>
      </c>
      <c r="C59">
        <v>30</v>
      </c>
      <c r="D59">
        <f t="shared" ref="D59:D65" si="4">B59*60+C59</f>
        <v>390</v>
      </c>
      <c r="E59" t="str">
        <f t="shared" ref="E59:E65" si="5">"https://ebsi.co.kr/ebs/lms/player/retrieveLmsPlayerHtml5Simple.ebs?medUrl="&amp;$A$57&amp;"&amp;strStartTm="&amp;D59&amp;"&amp;pType=2"</f>
        <v>https://ebsi.co.kr/ebs/lms/player/retrieveLmsPlayerHtml5Simple.ebs?medUrl=https://WSTR.ebsi.co.kr/M41M2501/S20250000256/S20250000256_1M4_100030069839.mp4&amp;strStartTm=390&amp;pType=2</v>
      </c>
    </row>
    <row r="60" spans="1:8" x14ac:dyDescent="0.3">
      <c r="A60">
        <v>25</v>
      </c>
      <c r="B60">
        <v>8</v>
      </c>
      <c r="C60">
        <v>17</v>
      </c>
      <c r="D60">
        <f t="shared" si="4"/>
        <v>497</v>
      </c>
      <c r="E60" t="str">
        <f t="shared" si="5"/>
        <v>https://ebsi.co.kr/ebs/lms/player/retrieveLmsPlayerHtml5Simple.ebs?medUrl=https://WSTR.ebsi.co.kr/M41M2501/S20250000256/S20250000256_1M4_100030069839.mp4&amp;strStartTm=497&amp;pType=2</v>
      </c>
    </row>
    <row r="61" spans="1:8" x14ac:dyDescent="0.3">
      <c r="A61">
        <v>26</v>
      </c>
      <c r="B61">
        <v>11</v>
      </c>
      <c r="C61">
        <v>30</v>
      </c>
      <c r="D61">
        <f t="shared" si="4"/>
        <v>690</v>
      </c>
      <c r="E61" t="str">
        <f t="shared" si="5"/>
        <v>https://ebsi.co.kr/ebs/lms/player/retrieveLmsPlayerHtml5Simple.ebs?medUrl=https://WSTR.ebsi.co.kr/M41M2501/S20250000256/S20250000256_1M4_100030069839.mp4&amp;strStartTm=690&amp;pType=2</v>
      </c>
    </row>
    <row r="62" spans="1:8" x14ac:dyDescent="0.3">
      <c r="A62">
        <v>27</v>
      </c>
      <c r="B62">
        <v>17</v>
      </c>
      <c r="C62">
        <v>51</v>
      </c>
      <c r="D62">
        <f t="shared" si="4"/>
        <v>1071</v>
      </c>
      <c r="E62" t="str">
        <f t="shared" si="5"/>
        <v>https://ebsi.co.kr/ebs/lms/player/retrieveLmsPlayerHtml5Simple.ebs?medUrl=https://WSTR.ebsi.co.kr/M41M2501/S20250000256/S20250000256_1M4_100030069839.mp4&amp;strStartTm=1071&amp;pType=2</v>
      </c>
    </row>
    <row r="63" spans="1:8" x14ac:dyDescent="0.3">
      <c r="A63">
        <v>28</v>
      </c>
      <c r="B63">
        <v>22</v>
      </c>
      <c r="C63">
        <v>39</v>
      </c>
      <c r="D63">
        <f t="shared" si="4"/>
        <v>1359</v>
      </c>
      <c r="E63" t="str">
        <f t="shared" si="5"/>
        <v>https://ebsi.co.kr/ebs/lms/player/retrieveLmsPlayerHtml5Simple.ebs?medUrl=https://WSTR.ebsi.co.kr/M41M2501/S20250000256/S20250000256_1M4_100030069839.mp4&amp;strStartTm=1359&amp;pType=2</v>
      </c>
    </row>
    <row r="64" spans="1:8" x14ac:dyDescent="0.3">
      <c r="A64">
        <v>29</v>
      </c>
      <c r="B64">
        <v>32</v>
      </c>
      <c r="C64">
        <v>51</v>
      </c>
      <c r="D64">
        <f t="shared" si="4"/>
        <v>1971</v>
      </c>
      <c r="E64" t="str">
        <f t="shared" si="5"/>
        <v>https://ebsi.co.kr/ebs/lms/player/retrieveLmsPlayerHtml5Simple.ebs?medUrl=https://WSTR.ebsi.co.kr/M41M2501/S20250000256/S20250000256_1M4_100030069839.mp4&amp;strStartTm=1971&amp;pType=2</v>
      </c>
    </row>
    <row r="65" spans="1:5" x14ac:dyDescent="0.3">
      <c r="A65">
        <v>30</v>
      </c>
      <c r="B65">
        <v>38</v>
      </c>
      <c r="C65">
        <v>22</v>
      </c>
      <c r="D65">
        <f t="shared" si="4"/>
        <v>2302</v>
      </c>
      <c r="E65" t="str">
        <f t="shared" si="5"/>
        <v>https://ebsi.co.kr/ebs/lms/player/retrieveLmsPlayerHtml5Simple.ebs?medUrl=https://WSTR.ebsi.co.kr/M41M2501/S20250000256/S20250000256_1M4_100030069839.mp4&amp;strStartTm=2302&amp;pType=2</v>
      </c>
    </row>
  </sheetData>
  <phoneticPr fontId="1" type="noConversion"/>
  <hyperlinks>
    <hyperlink ref="A2" r:id="rId1" xr:uid="{5EA03D87-D020-4684-813D-EE26C6FED819}"/>
    <hyperlink ref="A14" r:id="rId2" xr:uid="{47B4CBFC-C349-442A-B49E-87CF45949A0D}"/>
    <hyperlink ref="A57" r:id="rId3" xr:uid="{D1C85A6A-803C-4B88-A7DE-0C33C6DB75CC}"/>
  </hyperlinks>
  <pageMargins left="0.7" right="0.7" top="0.75" bottom="0.75" header="0.3" footer="0.3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FAA7E-E184-4B8C-9BFC-EAB82380A3DD}">
  <sheetPr codeName="Sheet5"/>
  <dimension ref="A1:P130"/>
  <sheetViews>
    <sheetView topLeftCell="A34" workbookViewId="0">
      <selection activeCell="E47" sqref="E47"/>
    </sheetView>
  </sheetViews>
  <sheetFormatPr defaultRowHeight="16.5" x14ac:dyDescent="0.3"/>
  <cols>
    <col min="1" max="1" width="61.125" bestFit="1" customWidth="1"/>
    <col min="3" max="3" width="7" bestFit="1" customWidth="1"/>
    <col min="4" max="5" width="20" bestFit="1" customWidth="1"/>
    <col min="6" max="6" width="30.5" customWidth="1"/>
    <col min="7" max="7" width="92.125" bestFit="1" customWidth="1"/>
  </cols>
  <sheetData>
    <row r="1" spans="1:16" x14ac:dyDescent="0.3">
      <c r="A1" t="str">
        <f>C1&amp;"-"&amp;D1&amp;"-"&amp;E1&amp;"-"&amp;F1</f>
        <v>수학Ⅰ-1. 지수함수와 로그함수-A. 지수와 로그-거듭제곱근</v>
      </c>
      <c r="B1">
        <v>1</v>
      </c>
      <c r="C1" t="s">
        <v>10</v>
      </c>
      <c r="D1" t="s">
        <v>483</v>
      </c>
      <c r="E1" t="s">
        <v>183</v>
      </c>
      <c r="F1" t="s">
        <v>60</v>
      </c>
      <c r="G1" t="s">
        <v>165</v>
      </c>
      <c r="H1" t="s">
        <v>195</v>
      </c>
      <c r="O1" t="str">
        <f t="shared" ref="O1:O32" si="0">VLOOKUP(P1,G:H,2,0)</f>
        <v>수학Ⅰ-지수함수와 로그함수-A. 지수와 로그-지수의 연산</v>
      </c>
      <c r="P1" t="s">
        <v>99</v>
      </c>
    </row>
    <row r="2" spans="1:16" x14ac:dyDescent="0.3">
      <c r="A2" t="str">
        <f t="shared" ref="A2:A59" si="1">C2&amp;"-"&amp;D2&amp;"-"&amp;E2&amp;"-"&amp;F2</f>
        <v>수학Ⅰ-1. 지수함수와 로그함수-A. 지수와 로그-지수의 연산</v>
      </c>
      <c r="B2">
        <v>2</v>
      </c>
      <c r="C2" t="s">
        <v>10</v>
      </c>
      <c r="D2" t="s">
        <v>483</v>
      </c>
      <c r="E2" t="s">
        <v>183</v>
      </c>
      <c r="F2" t="s">
        <v>62</v>
      </c>
      <c r="G2" t="s">
        <v>99</v>
      </c>
      <c r="H2" t="s">
        <v>196</v>
      </c>
      <c r="O2" t="str">
        <f t="shared" si="0"/>
        <v>수학Ⅱ-미분-I. 도함수-미분계수와 도함수</v>
      </c>
      <c r="P2" t="s">
        <v>101</v>
      </c>
    </row>
    <row r="3" spans="1:16" x14ac:dyDescent="0.3">
      <c r="A3" t="str">
        <f t="shared" si="1"/>
        <v>수학Ⅰ-1. 지수함수와 로그함수-A. 지수와 로그-로그의 연산</v>
      </c>
      <c r="B3">
        <v>3</v>
      </c>
      <c r="C3" t="s">
        <v>10</v>
      </c>
      <c r="D3" t="s">
        <v>483</v>
      </c>
      <c r="E3" t="s">
        <v>183</v>
      </c>
      <c r="F3" t="s">
        <v>64</v>
      </c>
      <c r="G3" t="s">
        <v>105</v>
      </c>
      <c r="H3" t="s">
        <v>197</v>
      </c>
      <c r="O3" t="str">
        <f t="shared" si="0"/>
        <v>수학Ⅰ-수열-D. 등차수열과 등비수열-등비수열</v>
      </c>
      <c r="P3" t="s">
        <v>100</v>
      </c>
    </row>
    <row r="4" spans="1:16" x14ac:dyDescent="0.3">
      <c r="A4" t="str">
        <f t="shared" si="1"/>
        <v>수학Ⅰ-1. 지수함수와 로그함수-B. 지수함수와 로그함수-지수함수의 그래프</v>
      </c>
      <c r="B4">
        <v>4</v>
      </c>
      <c r="C4" t="s">
        <v>10</v>
      </c>
      <c r="D4" t="s">
        <v>483</v>
      </c>
      <c r="E4" t="s">
        <v>184</v>
      </c>
      <c r="F4" t="s">
        <v>29</v>
      </c>
      <c r="G4" t="s">
        <v>138</v>
      </c>
      <c r="H4" t="s">
        <v>198</v>
      </c>
      <c r="O4" t="str">
        <f t="shared" si="0"/>
        <v>수학Ⅱ-함수의 극한과 연속-H. 함수의 연속-함수의 연속</v>
      </c>
      <c r="P4" t="s">
        <v>102</v>
      </c>
    </row>
    <row r="5" spans="1:16" x14ac:dyDescent="0.3">
      <c r="A5" t="str">
        <f t="shared" si="1"/>
        <v>수학Ⅰ-1. 지수함수와 로그함수-B. 지수함수와 로그함수-로그함수의 그래프</v>
      </c>
      <c r="B5">
        <v>5</v>
      </c>
      <c r="C5" t="s">
        <v>10</v>
      </c>
      <c r="D5" t="s">
        <v>483</v>
      </c>
      <c r="E5" t="s">
        <v>184</v>
      </c>
      <c r="F5" t="s">
        <v>31</v>
      </c>
      <c r="G5" t="s">
        <v>161</v>
      </c>
      <c r="H5" t="s">
        <v>199</v>
      </c>
      <c r="O5" t="str">
        <f t="shared" si="0"/>
        <v>수학Ⅱ-미분-I. 도함수-곱함수의 미분법</v>
      </c>
      <c r="P5" t="s">
        <v>146</v>
      </c>
    </row>
    <row r="6" spans="1:16" x14ac:dyDescent="0.3">
      <c r="A6" t="str">
        <f t="shared" si="1"/>
        <v>수학Ⅰ-1. 지수함수와 로그함수-B. 지수함수와 로그함수-방정식과 부등식에의 활용</v>
      </c>
      <c r="B6">
        <v>6</v>
      </c>
      <c r="C6" t="s">
        <v>10</v>
      </c>
      <c r="D6" t="s">
        <v>483</v>
      </c>
      <c r="E6" t="s">
        <v>184</v>
      </c>
      <c r="F6" t="s">
        <v>68</v>
      </c>
      <c r="G6" t="s">
        <v>135</v>
      </c>
      <c r="H6" t="s">
        <v>200</v>
      </c>
      <c r="O6" t="str">
        <f t="shared" si="0"/>
        <v>수학Ⅰ-삼각함수-C. 삼각함수-삼각함수의 값</v>
      </c>
      <c r="P6" t="s">
        <v>103</v>
      </c>
    </row>
    <row r="7" spans="1:16" x14ac:dyDescent="0.3">
      <c r="A7" t="str">
        <f t="shared" si="1"/>
        <v>수학Ⅰ-1. 지수함수와 로그함수-B. 지수함수와 로그함수-제한된 범위에서 최대 또는 최소</v>
      </c>
      <c r="B7">
        <v>7</v>
      </c>
      <c r="C7" t="s">
        <v>10</v>
      </c>
      <c r="D7" t="s">
        <v>483</v>
      </c>
      <c r="E7" t="s">
        <v>184</v>
      </c>
      <c r="F7" t="s">
        <v>70</v>
      </c>
      <c r="G7" t="s">
        <v>160</v>
      </c>
      <c r="H7" t="s">
        <v>201</v>
      </c>
      <c r="O7" t="str">
        <f t="shared" si="0"/>
        <v>수학Ⅱ-적분-L. 정적분-미적분학의 기본 정리</v>
      </c>
      <c r="P7" t="s">
        <v>104</v>
      </c>
    </row>
    <row r="8" spans="1:16" x14ac:dyDescent="0.3">
      <c r="A8" t="str">
        <f t="shared" si="1"/>
        <v>수학Ⅰ-1. 지수함수와 로그함수-B. 지수함수와 로그함수-지수, 로그가 정수가 되기 위한 조건</v>
      </c>
      <c r="B8">
        <v>8</v>
      </c>
      <c r="C8" t="s">
        <v>10</v>
      </c>
      <c r="D8" t="s">
        <v>483</v>
      </c>
      <c r="E8" t="s">
        <v>184</v>
      </c>
      <c r="F8" t="s">
        <v>66</v>
      </c>
      <c r="G8" t="s">
        <v>166</v>
      </c>
      <c r="H8" t="s">
        <v>202</v>
      </c>
      <c r="O8" t="str">
        <f t="shared" si="0"/>
        <v>수학Ⅰ-지수함수와 로그함수-A. 지수와 로그-로그의 연산</v>
      </c>
      <c r="P8" t="s">
        <v>105</v>
      </c>
    </row>
    <row r="9" spans="1:16" x14ac:dyDescent="0.3">
      <c r="A9" t="str">
        <f t="shared" si="1"/>
        <v>수학Ⅰ-1. 지수함수와 로그함수-B. 지수함수와 로그함수-명제의 진위 판단</v>
      </c>
      <c r="B9">
        <v>9</v>
      </c>
      <c r="C9" t="s">
        <v>10</v>
      </c>
      <c r="D9" t="s">
        <v>483</v>
      </c>
      <c r="E9" t="s">
        <v>184</v>
      </c>
      <c r="F9" t="s">
        <v>72</v>
      </c>
      <c r="G9" t="s">
        <v>164</v>
      </c>
      <c r="H9" t="s">
        <v>203</v>
      </c>
      <c r="O9" t="str">
        <f t="shared" si="0"/>
        <v>수학Ⅱ-적분-L. 정적분-정적분</v>
      </c>
      <c r="P9" t="s">
        <v>107</v>
      </c>
    </row>
    <row r="10" spans="1:16" x14ac:dyDescent="0.3">
      <c r="A10" t="str">
        <f t="shared" si="1"/>
        <v>수학Ⅰ-1. 지수함수와 로그함수-B. 지수함수와 로그함수-그래프에서 도형의 성질</v>
      </c>
      <c r="B10">
        <v>10</v>
      </c>
      <c r="C10" t="s">
        <v>10</v>
      </c>
      <c r="D10" t="s">
        <v>483</v>
      </c>
      <c r="E10" t="s">
        <v>184</v>
      </c>
      <c r="F10" t="s">
        <v>74</v>
      </c>
      <c r="G10" t="s">
        <v>149</v>
      </c>
      <c r="H10" t="s">
        <v>204</v>
      </c>
      <c r="O10" t="str">
        <f t="shared" si="0"/>
        <v>수학Ⅰ-삼각함수-C. 삼각함수-함수의 최대 또는 최소</v>
      </c>
      <c r="P10" t="s">
        <v>106</v>
      </c>
    </row>
    <row r="11" spans="1:16" x14ac:dyDescent="0.3">
      <c r="A11" t="str">
        <f t="shared" si="1"/>
        <v>수학Ⅰ-2. 삼각함수-C. 삼각함수-삼각함수의 그래프</v>
      </c>
      <c r="B11">
        <v>11</v>
      </c>
      <c r="C11" t="s">
        <v>10</v>
      </c>
      <c r="D11" t="s">
        <v>484</v>
      </c>
      <c r="E11" t="s">
        <v>185</v>
      </c>
      <c r="F11" t="s">
        <v>33</v>
      </c>
      <c r="G11" t="s">
        <v>159</v>
      </c>
      <c r="H11" t="s">
        <v>205</v>
      </c>
      <c r="O11" t="str">
        <f t="shared" si="0"/>
        <v>수학Ⅱ-미분-J. 도함수의 활용-속도와 가속도</v>
      </c>
      <c r="P11" t="s">
        <v>108</v>
      </c>
    </row>
    <row r="12" spans="1:16" x14ac:dyDescent="0.3">
      <c r="A12" t="str">
        <f t="shared" si="1"/>
        <v>수학Ⅰ-2. 삼각함수-C. 삼각함수-삼각함수의 값</v>
      </c>
      <c r="B12">
        <v>12</v>
      </c>
      <c r="C12" t="s">
        <v>10</v>
      </c>
      <c r="D12" t="s">
        <v>484</v>
      </c>
      <c r="E12" t="s">
        <v>185</v>
      </c>
      <c r="F12" t="s">
        <v>76</v>
      </c>
      <c r="G12" t="s">
        <v>103</v>
      </c>
      <c r="H12" t="s">
        <v>206</v>
      </c>
      <c r="O12" t="str">
        <f t="shared" si="0"/>
        <v>수학Ⅰ-수열-E. 수열의 합-수열의 합과 일반항 사이의 관계</v>
      </c>
      <c r="P12" t="s">
        <v>109</v>
      </c>
    </row>
    <row r="13" spans="1:16" x14ac:dyDescent="0.3">
      <c r="A13" t="str">
        <f t="shared" si="1"/>
        <v>수학Ⅰ-2. 삼각함수-C. 삼각함수-방정식과 부등식에의 활용</v>
      </c>
      <c r="B13">
        <v>13</v>
      </c>
      <c r="C13" t="s">
        <v>10</v>
      </c>
      <c r="D13" t="s">
        <v>484</v>
      </c>
      <c r="E13" t="s">
        <v>185</v>
      </c>
      <c r="F13" t="s">
        <v>68</v>
      </c>
      <c r="G13" t="s">
        <v>154</v>
      </c>
      <c r="H13" t="s">
        <v>207</v>
      </c>
      <c r="O13" t="str">
        <f t="shared" si="0"/>
        <v>수학Ⅱ-적분-L. 정적분-곡선 사이의 넓이</v>
      </c>
      <c r="P13" t="s">
        <v>110</v>
      </c>
    </row>
    <row r="14" spans="1:16" x14ac:dyDescent="0.3">
      <c r="A14" t="str">
        <f t="shared" si="1"/>
        <v>수학Ⅰ-2. 삼각함수-C. 삼각함수-함수의 최대 또는 최소</v>
      </c>
      <c r="B14">
        <v>14</v>
      </c>
      <c r="C14" t="s">
        <v>10</v>
      </c>
      <c r="D14" t="s">
        <v>484</v>
      </c>
      <c r="E14" t="s">
        <v>185</v>
      </c>
      <c r="F14" t="s">
        <v>78</v>
      </c>
      <c r="G14" t="s">
        <v>106</v>
      </c>
      <c r="H14" t="s">
        <v>208</v>
      </c>
      <c r="O14" t="str">
        <f t="shared" si="0"/>
        <v>수학Ⅰ-삼각함수-C. 삼각함수-사인법칙과 코사인법칙</v>
      </c>
      <c r="P14" t="s">
        <v>133</v>
      </c>
    </row>
    <row r="15" spans="1:16" x14ac:dyDescent="0.3">
      <c r="A15" t="str">
        <f t="shared" si="1"/>
        <v>수학Ⅰ-2. 삼각함수-C. 삼각함수-사인법칙과 코사인법칙</v>
      </c>
      <c r="B15">
        <v>15</v>
      </c>
      <c r="C15" t="s">
        <v>10</v>
      </c>
      <c r="D15" t="s">
        <v>484</v>
      </c>
      <c r="E15" t="s">
        <v>185</v>
      </c>
      <c r="F15" t="s">
        <v>28</v>
      </c>
      <c r="G15" t="s">
        <v>133</v>
      </c>
      <c r="H15" t="s">
        <v>209</v>
      </c>
      <c r="O15" t="str">
        <f t="shared" si="0"/>
        <v>수학Ⅱ-미분-I. 도함수-미분가능성</v>
      </c>
      <c r="P15" t="s">
        <v>134</v>
      </c>
    </row>
    <row r="16" spans="1:16" x14ac:dyDescent="0.3">
      <c r="A16" t="str">
        <f t="shared" si="1"/>
        <v>수학Ⅰ-3. 수열-D. 등차수열과 등비수열-등차수열</v>
      </c>
      <c r="B16">
        <v>16</v>
      </c>
      <c r="C16" t="s">
        <v>10</v>
      </c>
      <c r="D16" t="s">
        <v>485</v>
      </c>
      <c r="E16" t="s">
        <v>186</v>
      </c>
      <c r="F16" t="s">
        <v>36</v>
      </c>
      <c r="G16" t="s">
        <v>163</v>
      </c>
      <c r="H16" t="s">
        <v>210</v>
      </c>
      <c r="O16" t="str">
        <f t="shared" si="0"/>
        <v>수학Ⅰ-지수함수와 로그함수-B. 지수함수와 로그함수-방정식과 부등식에의 활용</v>
      </c>
      <c r="P16" t="s">
        <v>135</v>
      </c>
    </row>
    <row r="17" spans="1:16" x14ac:dyDescent="0.3">
      <c r="A17" t="str">
        <f t="shared" si="1"/>
        <v>수학Ⅰ-3. 수열-D. 등차수열과 등비수열-등비수열</v>
      </c>
      <c r="B17">
        <v>17</v>
      </c>
      <c r="C17" t="s">
        <v>10</v>
      </c>
      <c r="D17" t="s">
        <v>485</v>
      </c>
      <c r="E17" t="s">
        <v>186</v>
      </c>
      <c r="F17" t="s">
        <v>38</v>
      </c>
      <c r="G17" t="s">
        <v>100</v>
      </c>
      <c r="H17" t="s">
        <v>211</v>
      </c>
      <c r="O17" t="str">
        <f t="shared" si="0"/>
        <v>수학Ⅱ-적분-K. 부정적분-부정적분</v>
      </c>
      <c r="P17" t="s">
        <v>136</v>
      </c>
    </row>
    <row r="18" spans="1:16" x14ac:dyDescent="0.3">
      <c r="A18" t="str">
        <f t="shared" si="1"/>
        <v>수학Ⅰ-3. 수열-E. 수열의 합-시그마의 뜻과 성질</v>
      </c>
      <c r="B18">
        <v>18</v>
      </c>
      <c r="C18" t="s">
        <v>10</v>
      </c>
      <c r="D18" t="s">
        <v>485</v>
      </c>
      <c r="E18" t="s">
        <v>187</v>
      </c>
      <c r="F18" t="s">
        <v>40</v>
      </c>
      <c r="G18" t="s">
        <v>150</v>
      </c>
      <c r="H18" t="s">
        <v>212</v>
      </c>
      <c r="O18" t="str">
        <f t="shared" si="0"/>
        <v>수학Ⅰ-수열-E. 수열의 합-여러 가지 수열의 합</v>
      </c>
      <c r="P18" t="s">
        <v>148</v>
      </c>
    </row>
    <row r="19" spans="1:16" x14ac:dyDescent="0.3">
      <c r="A19" t="str">
        <f>C19&amp;"-"&amp;D19&amp;"-"&amp;E19&amp;"-"&amp;F19</f>
        <v>수학Ⅰ-3. 수열-E. 수열의 합-수열의 합과 일반항 사이의 관계</v>
      </c>
      <c r="B19">
        <v>19</v>
      </c>
      <c r="C19" t="s">
        <v>10</v>
      </c>
      <c r="D19" t="s">
        <v>485</v>
      </c>
      <c r="E19" t="s">
        <v>187</v>
      </c>
      <c r="F19" t="s">
        <v>42</v>
      </c>
      <c r="G19" t="s">
        <v>109</v>
      </c>
      <c r="H19" t="s">
        <v>213</v>
      </c>
      <c r="O19" t="str">
        <f t="shared" si="0"/>
        <v>수학Ⅱ-미분-J. 도함수의 활용-극대와 극소</v>
      </c>
      <c r="P19" t="s">
        <v>153</v>
      </c>
    </row>
    <row r="20" spans="1:16" x14ac:dyDescent="0.3">
      <c r="A20" t="str">
        <f t="shared" si="1"/>
        <v>수학Ⅰ-3. 수열-E. 수열의 합-여러 가지 수열의 합</v>
      </c>
      <c r="B20">
        <v>20</v>
      </c>
      <c r="C20" t="s">
        <v>10</v>
      </c>
      <c r="D20" t="s">
        <v>485</v>
      </c>
      <c r="E20" t="s">
        <v>187</v>
      </c>
      <c r="F20" t="s">
        <v>147</v>
      </c>
      <c r="G20" t="s">
        <v>148</v>
      </c>
      <c r="H20" t="s">
        <v>214</v>
      </c>
      <c r="O20" t="str">
        <f t="shared" si="0"/>
        <v>수학Ⅰ-지수함수와 로그함수-B. 지수함수와 로그함수-지수함수의 그래프</v>
      </c>
      <c r="P20" t="s">
        <v>138</v>
      </c>
    </row>
    <row r="21" spans="1:16" x14ac:dyDescent="0.3">
      <c r="A21" t="str">
        <f t="shared" si="1"/>
        <v>수학Ⅰ-3. 수열-F. 수학적 귀납법-수열의 귀납적 정의</v>
      </c>
      <c r="B21">
        <v>21</v>
      </c>
      <c r="C21" t="s">
        <v>10</v>
      </c>
      <c r="D21" t="s">
        <v>485</v>
      </c>
      <c r="E21" t="s">
        <v>188</v>
      </c>
      <c r="F21" t="s">
        <v>44</v>
      </c>
      <c r="G21" t="s">
        <v>137</v>
      </c>
      <c r="H21" t="s">
        <v>215</v>
      </c>
      <c r="O21" t="str">
        <f t="shared" si="0"/>
        <v>수학Ⅱ-함수의 극한과 연속-G. 함수의 극한-함수의 극한</v>
      </c>
      <c r="P21" t="s">
        <v>139</v>
      </c>
    </row>
    <row r="22" spans="1:16" x14ac:dyDescent="0.3">
      <c r="A22" t="str">
        <f t="shared" si="1"/>
        <v>수학Ⅰ-3. 수열-F. 수학적 귀납법-수학적 귀납법</v>
      </c>
      <c r="B22">
        <v>22</v>
      </c>
      <c r="C22" t="s">
        <v>10</v>
      </c>
      <c r="D22" t="s">
        <v>485</v>
      </c>
      <c r="E22" t="s">
        <v>188</v>
      </c>
      <c r="F22" t="s">
        <v>17</v>
      </c>
      <c r="G22" t="s">
        <v>167</v>
      </c>
      <c r="H22" t="s">
        <v>216</v>
      </c>
      <c r="O22" t="str">
        <f t="shared" si="0"/>
        <v>수학Ⅰ-수열-F. 수학적 귀납법-수열의 귀납적 정의</v>
      </c>
      <c r="P22" t="s">
        <v>137</v>
      </c>
    </row>
    <row r="23" spans="1:16" x14ac:dyDescent="0.3">
      <c r="A23" t="str">
        <f t="shared" si="1"/>
        <v>수학Ⅱ-1. 함수의 극한과 연속-G. 함수의 극한-함수의 극한</v>
      </c>
      <c r="B23">
        <v>23</v>
      </c>
      <c r="C23" t="s">
        <v>18</v>
      </c>
      <c r="D23" t="s">
        <v>486</v>
      </c>
      <c r="E23" t="s">
        <v>189</v>
      </c>
      <c r="F23" t="s">
        <v>20</v>
      </c>
      <c r="G23" t="s">
        <v>139</v>
      </c>
      <c r="H23" t="s">
        <v>217</v>
      </c>
      <c r="O23" t="str">
        <f t="shared" si="0"/>
        <v>수학Ⅰ-지수함수와 로그함수-A. 지수와 로그-지수의 연산</v>
      </c>
      <c r="P23" t="s">
        <v>99</v>
      </c>
    </row>
    <row r="24" spans="1:16" x14ac:dyDescent="0.3">
      <c r="A24" t="str">
        <f t="shared" si="1"/>
        <v>수학Ⅱ-1. 함수의 극한과 연속-G. 함수의 극한-그래프와 도형의 성질에 관한 극한</v>
      </c>
      <c r="B24">
        <v>24</v>
      </c>
      <c r="C24" t="s">
        <v>18</v>
      </c>
      <c r="D24" t="s">
        <v>486</v>
      </c>
      <c r="E24" t="s">
        <v>189</v>
      </c>
      <c r="F24" t="s">
        <v>82</v>
      </c>
      <c r="G24" t="s">
        <v>162</v>
      </c>
      <c r="H24" t="s">
        <v>218</v>
      </c>
      <c r="O24" t="str">
        <f t="shared" si="0"/>
        <v>수학Ⅱ-미분-I. 도함수-미분계수와 도함수</v>
      </c>
      <c r="P24" t="s">
        <v>101</v>
      </c>
    </row>
    <row r="25" spans="1:16" x14ac:dyDescent="0.3">
      <c r="A25" t="str">
        <f t="shared" si="1"/>
        <v>수학Ⅱ-1. 함수의 극한과 연속-H. 함수의 연속-함수의 연속</v>
      </c>
      <c r="B25">
        <v>25</v>
      </c>
      <c r="C25" t="s">
        <v>18</v>
      </c>
      <c r="D25" t="s">
        <v>486</v>
      </c>
      <c r="E25" t="s">
        <v>190</v>
      </c>
      <c r="F25" t="s">
        <v>21</v>
      </c>
      <c r="G25" t="s">
        <v>102</v>
      </c>
      <c r="H25" t="s">
        <v>219</v>
      </c>
      <c r="O25" t="str">
        <f t="shared" si="0"/>
        <v>수학Ⅰ-수열-D. 등차수열과 등비수열-등비수열</v>
      </c>
      <c r="P25" t="s">
        <v>100</v>
      </c>
    </row>
    <row r="26" spans="1:16" x14ac:dyDescent="0.3">
      <c r="A26" t="str">
        <f t="shared" si="1"/>
        <v>수학Ⅱ-1. 함수의 극한과 연속-H. 함수의 연속-곱함수의 연속</v>
      </c>
      <c r="B26">
        <v>26</v>
      </c>
      <c r="C26" t="s">
        <v>18</v>
      </c>
      <c r="D26" t="s">
        <v>486</v>
      </c>
      <c r="E26" t="s">
        <v>190</v>
      </c>
      <c r="F26" t="s">
        <v>84</v>
      </c>
      <c r="G26" t="s">
        <v>168</v>
      </c>
      <c r="H26" t="s">
        <v>220</v>
      </c>
      <c r="O26" t="str">
        <f t="shared" si="0"/>
        <v>수학Ⅱ-함수의 극한과 연속-G. 함수의 극한-함수의 극한</v>
      </c>
      <c r="P26" t="s">
        <v>139</v>
      </c>
    </row>
    <row r="27" spans="1:16" x14ac:dyDescent="0.3">
      <c r="A27" t="str">
        <f t="shared" si="1"/>
        <v>수학Ⅱ-1. 함수의 극한과 연속-H. 함수의 연속-조건을 만족하는 함수의 추론</v>
      </c>
      <c r="B27">
        <v>27</v>
      </c>
      <c r="C27" t="s">
        <v>18</v>
      </c>
      <c r="D27" t="s">
        <v>486</v>
      </c>
      <c r="E27" t="s">
        <v>190</v>
      </c>
      <c r="F27" t="s">
        <v>86</v>
      </c>
      <c r="G27" t="s">
        <v>169</v>
      </c>
      <c r="H27" t="s">
        <v>221</v>
      </c>
      <c r="O27" t="str">
        <f t="shared" si="0"/>
        <v>수학Ⅱ-미분-I. 도함수-곱함수의 미분법</v>
      </c>
      <c r="P27" t="s">
        <v>146</v>
      </c>
    </row>
    <row r="28" spans="1:16" x14ac:dyDescent="0.3">
      <c r="A28" t="str">
        <f t="shared" si="1"/>
        <v>수학Ⅱ-2. 미분-I. 도함수-미분계수와 도함수</v>
      </c>
      <c r="B28">
        <v>28</v>
      </c>
      <c r="C28" t="s">
        <v>18</v>
      </c>
      <c r="D28" t="s">
        <v>487</v>
      </c>
      <c r="E28" t="s">
        <v>191</v>
      </c>
      <c r="F28" t="s">
        <v>48</v>
      </c>
      <c r="G28" t="s">
        <v>101</v>
      </c>
      <c r="H28" t="s">
        <v>222</v>
      </c>
      <c r="O28" t="str">
        <f t="shared" si="0"/>
        <v>수학Ⅰ-삼각함수-C. 삼각함수-삼각함수의 값</v>
      </c>
      <c r="P28" t="s">
        <v>103</v>
      </c>
    </row>
    <row r="29" spans="1:16" x14ac:dyDescent="0.3">
      <c r="A29" t="str">
        <f t="shared" si="1"/>
        <v>수학Ⅱ-2. 미분-I. 도함수-곱함수의 미분법</v>
      </c>
      <c r="B29">
        <v>29</v>
      </c>
      <c r="C29" t="s">
        <v>18</v>
      </c>
      <c r="D29" t="s">
        <v>487</v>
      </c>
      <c r="E29" t="s">
        <v>191</v>
      </c>
      <c r="F29" t="s">
        <v>88</v>
      </c>
      <c r="G29" t="s">
        <v>146</v>
      </c>
      <c r="H29" t="s">
        <v>223</v>
      </c>
      <c r="O29" t="str">
        <f t="shared" si="0"/>
        <v>수학Ⅱ-함수의 극한과 연속-H. 함수의 연속-함수의 연속</v>
      </c>
      <c r="P29" t="s">
        <v>102</v>
      </c>
    </row>
    <row r="30" spans="1:16" x14ac:dyDescent="0.3">
      <c r="A30" t="str">
        <f t="shared" si="1"/>
        <v>수학Ⅱ-2. 미분-I. 도함수-미분가능성</v>
      </c>
      <c r="B30">
        <v>30</v>
      </c>
      <c r="C30" t="s">
        <v>18</v>
      </c>
      <c r="D30" t="s">
        <v>487</v>
      </c>
      <c r="E30" t="s">
        <v>191</v>
      </c>
      <c r="F30" t="s">
        <v>95</v>
      </c>
      <c r="G30" t="s">
        <v>134</v>
      </c>
      <c r="H30" t="s">
        <v>224</v>
      </c>
      <c r="O30" t="str">
        <f t="shared" si="0"/>
        <v>수학Ⅰ-지수함수와 로그함수-A. 지수와 로그-로그의 연산</v>
      </c>
      <c r="P30" t="s">
        <v>105</v>
      </c>
    </row>
    <row r="31" spans="1:16" x14ac:dyDescent="0.3">
      <c r="A31" t="str">
        <f t="shared" si="1"/>
        <v>수학Ⅱ-2. 미분-J. 도함수의 활용-접선의 방정식</v>
      </c>
      <c r="B31">
        <v>31</v>
      </c>
      <c r="C31" t="s">
        <v>18</v>
      </c>
      <c r="D31" t="s">
        <v>487</v>
      </c>
      <c r="E31" t="s">
        <v>192</v>
      </c>
      <c r="F31" t="s">
        <v>50</v>
      </c>
      <c r="G31" t="s">
        <v>157</v>
      </c>
      <c r="H31" t="s">
        <v>225</v>
      </c>
      <c r="O31" t="str">
        <f t="shared" si="0"/>
        <v>수학Ⅱ-적분-L. 정적분-정적분</v>
      </c>
      <c r="P31" t="s">
        <v>107</v>
      </c>
    </row>
    <row r="32" spans="1:16" x14ac:dyDescent="0.3">
      <c r="A32" t="str">
        <f t="shared" si="1"/>
        <v>수학Ⅱ-2. 미분-J. 도함수의 활용-방정식과 부등식에의 활용</v>
      </c>
      <c r="B32">
        <v>32</v>
      </c>
      <c r="C32" t="s">
        <v>18</v>
      </c>
      <c r="D32" t="s">
        <v>487</v>
      </c>
      <c r="E32" t="s">
        <v>192</v>
      </c>
      <c r="F32" t="s">
        <v>69</v>
      </c>
      <c r="G32" t="s">
        <v>156</v>
      </c>
      <c r="H32" t="s">
        <v>226</v>
      </c>
      <c r="O32" t="str">
        <f t="shared" si="0"/>
        <v>수학Ⅰ-삼각함수-C. 삼각함수-사인법칙과 코사인법칙</v>
      </c>
      <c r="P32" t="s">
        <v>133</v>
      </c>
    </row>
    <row r="33" spans="1:16" x14ac:dyDescent="0.3">
      <c r="A33" t="str">
        <f t="shared" si="1"/>
        <v>수학Ⅱ-2. 미분-J. 도함수의 활용-극대와 극소</v>
      </c>
      <c r="B33">
        <v>33</v>
      </c>
      <c r="C33" t="s">
        <v>18</v>
      </c>
      <c r="D33" t="s">
        <v>487</v>
      </c>
      <c r="E33" t="s">
        <v>192</v>
      </c>
      <c r="F33" t="s">
        <v>151</v>
      </c>
      <c r="G33" t="s">
        <v>153</v>
      </c>
      <c r="H33" t="s">
        <v>227</v>
      </c>
      <c r="O33" t="str">
        <f t="shared" ref="O33:O64" si="2">VLOOKUP(P33,G:H,2,0)</f>
        <v>수학Ⅱ-미분-J. 도함수의 활용-속도와 가속도</v>
      </c>
      <c r="P33" t="s">
        <v>108</v>
      </c>
    </row>
    <row r="34" spans="1:16" x14ac:dyDescent="0.3">
      <c r="A34" t="str">
        <f t="shared" si="1"/>
        <v>수학Ⅱ-2. 미분-J. 도함수의 활용-그래프의 개형</v>
      </c>
      <c r="B34">
        <v>34</v>
      </c>
      <c r="C34" t="s">
        <v>18</v>
      </c>
      <c r="D34" t="s">
        <v>487</v>
      </c>
      <c r="E34" t="s">
        <v>192</v>
      </c>
      <c r="F34" t="s">
        <v>93</v>
      </c>
      <c r="G34" t="s">
        <v>140</v>
      </c>
      <c r="H34" t="s">
        <v>228</v>
      </c>
      <c r="O34" t="str">
        <f t="shared" si="2"/>
        <v>수학Ⅰ-수열-E. 수열의 합-여러 가지 수열의 합</v>
      </c>
      <c r="P34" t="s">
        <v>148</v>
      </c>
    </row>
    <row r="35" spans="1:16" x14ac:dyDescent="0.3">
      <c r="A35" t="str">
        <f t="shared" si="1"/>
        <v>수학Ⅱ-2. 미분-J. 도함수의 활용-함수의 추론</v>
      </c>
      <c r="B35">
        <v>35</v>
      </c>
      <c r="C35" t="s">
        <v>18</v>
      </c>
      <c r="D35" t="s">
        <v>487</v>
      </c>
      <c r="E35" t="s">
        <v>192</v>
      </c>
      <c r="F35" t="s">
        <v>152</v>
      </c>
      <c r="G35" t="s">
        <v>155</v>
      </c>
      <c r="H35" t="s">
        <v>229</v>
      </c>
      <c r="O35" t="str">
        <f t="shared" si="2"/>
        <v>수학Ⅱ-적분-L. 정적분-곡선 사이의 넓이</v>
      </c>
      <c r="P35" t="s">
        <v>110</v>
      </c>
    </row>
    <row r="36" spans="1:16" x14ac:dyDescent="0.3">
      <c r="A36" t="str">
        <f t="shared" si="1"/>
        <v>수학Ⅱ-2. 미분-J. 도함수의 활용-속도와 가속도</v>
      </c>
      <c r="B36">
        <v>36</v>
      </c>
      <c r="C36" t="s">
        <v>18</v>
      </c>
      <c r="D36" t="s">
        <v>487</v>
      </c>
      <c r="E36" t="s">
        <v>192</v>
      </c>
      <c r="F36" t="s">
        <v>52</v>
      </c>
      <c r="G36" t="s">
        <v>108</v>
      </c>
      <c r="H36" t="s">
        <v>230</v>
      </c>
      <c r="O36" t="str">
        <f t="shared" si="2"/>
        <v>수학Ⅰ-지수함수와 로그함수-B. 지수함수와 로그함수-그래프에서 도형의 성질</v>
      </c>
      <c r="P36" t="s">
        <v>149</v>
      </c>
    </row>
    <row r="37" spans="1:16" x14ac:dyDescent="0.3">
      <c r="A37" t="str">
        <f t="shared" si="1"/>
        <v>수학Ⅱ-3. 적분-K. 부정적분-부정적분</v>
      </c>
      <c r="B37">
        <v>37</v>
      </c>
      <c r="C37" t="s">
        <v>18</v>
      </c>
      <c r="D37" t="s">
        <v>488</v>
      </c>
      <c r="E37" t="s">
        <v>193</v>
      </c>
      <c r="F37" t="s">
        <v>26</v>
      </c>
      <c r="G37" t="s">
        <v>136</v>
      </c>
      <c r="H37" t="s">
        <v>231</v>
      </c>
      <c r="O37" t="str">
        <f t="shared" si="2"/>
        <v>수학Ⅱ-적분-L. 정적분-미적분학의 기본 정리</v>
      </c>
      <c r="P37" t="s">
        <v>104</v>
      </c>
    </row>
    <row r="38" spans="1:16" x14ac:dyDescent="0.3">
      <c r="A38" t="str">
        <f t="shared" si="1"/>
        <v>수학Ⅱ-3. 적분-L. 정적분-정적분</v>
      </c>
      <c r="B38">
        <v>38</v>
      </c>
      <c r="C38" t="s">
        <v>18</v>
      </c>
      <c r="D38" t="s">
        <v>488</v>
      </c>
      <c r="E38" t="s">
        <v>194</v>
      </c>
      <c r="F38" t="s">
        <v>27</v>
      </c>
      <c r="G38" t="s">
        <v>107</v>
      </c>
      <c r="H38" t="s">
        <v>232</v>
      </c>
      <c r="O38" t="str">
        <f t="shared" si="2"/>
        <v>수학Ⅰ-지수함수와 로그함수-B. 지수함수와 로그함수-방정식과 부등식에의 활용</v>
      </c>
      <c r="P38" t="s">
        <v>135</v>
      </c>
    </row>
    <row r="39" spans="1:16" x14ac:dyDescent="0.3">
      <c r="A39" t="str">
        <f t="shared" si="1"/>
        <v>수학Ⅱ-3. 적분-L. 정적분-미적분학의 기본 정리</v>
      </c>
      <c r="B39">
        <v>39</v>
      </c>
      <c r="C39" t="s">
        <v>18</v>
      </c>
      <c r="D39" t="s">
        <v>488</v>
      </c>
      <c r="E39" t="s">
        <v>194</v>
      </c>
      <c r="F39" t="s">
        <v>97</v>
      </c>
      <c r="G39" t="s">
        <v>104</v>
      </c>
      <c r="H39" t="s">
        <v>233</v>
      </c>
      <c r="O39" t="str">
        <f t="shared" si="2"/>
        <v>수학Ⅱ-적분-K. 부정적분-부정적분</v>
      </c>
      <c r="P39" t="s">
        <v>136</v>
      </c>
    </row>
    <row r="40" spans="1:16" x14ac:dyDescent="0.3">
      <c r="A40" t="str">
        <f t="shared" si="1"/>
        <v>수학Ⅱ-3. 적분-L. 정적분-곡선 사이의 넓이</v>
      </c>
      <c r="B40">
        <v>40</v>
      </c>
      <c r="C40" t="s">
        <v>18</v>
      </c>
      <c r="D40" t="s">
        <v>488</v>
      </c>
      <c r="E40" t="s">
        <v>194</v>
      </c>
      <c r="F40" t="s">
        <v>56</v>
      </c>
      <c r="G40" t="s">
        <v>110</v>
      </c>
      <c r="H40" t="s">
        <v>234</v>
      </c>
      <c r="O40" t="str">
        <f t="shared" si="2"/>
        <v>수학Ⅰ-수열-E. 수열의 합-시그마의 뜻과 성질</v>
      </c>
      <c r="P40" t="s">
        <v>150</v>
      </c>
    </row>
    <row r="41" spans="1:16" x14ac:dyDescent="0.3">
      <c r="A41" t="str">
        <f t="shared" si="1"/>
        <v>수학Ⅱ-3. 적분-L. 정적분-속도와 거리</v>
      </c>
      <c r="B41">
        <v>41</v>
      </c>
      <c r="C41" t="s">
        <v>18</v>
      </c>
      <c r="D41" t="s">
        <v>488</v>
      </c>
      <c r="E41" t="s">
        <v>194</v>
      </c>
      <c r="F41" t="s">
        <v>58</v>
      </c>
      <c r="G41" t="s">
        <v>158</v>
      </c>
      <c r="H41" t="s">
        <v>235</v>
      </c>
      <c r="O41" t="str">
        <f t="shared" si="2"/>
        <v>수학Ⅱ-미분-J. 도함수의 활용-극대와 극소</v>
      </c>
      <c r="P41" t="s">
        <v>153</v>
      </c>
    </row>
    <row r="42" spans="1:16" x14ac:dyDescent="0.3">
      <c r="A42" t="str">
        <f t="shared" si="1"/>
        <v>수학Ⅱ-3. 적분-L. 정적분-명제의 진위 판단</v>
      </c>
      <c r="B42">
        <v>42</v>
      </c>
      <c r="C42" t="s">
        <v>18</v>
      </c>
      <c r="D42" t="s">
        <v>488</v>
      </c>
      <c r="E42" t="s">
        <v>194</v>
      </c>
      <c r="F42" t="s">
        <v>72</v>
      </c>
      <c r="G42" t="s">
        <v>170</v>
      </c>
      <c r="H42" t="s">
        <v>236</v>
      </c>
      <c r="O42" t="str">
        <f t="shared" si="2"/>
        <v>수학Ⅰ-삼각함수-C. 삼각함수-방정식과 부등식에의 활용</v>
      </c>
      <c r="P42" t="s">
        <v>154</v>
      </c>
    </row>
    <row r="43" spans="1:16" x14ac:dyDescent="0.3">
      <c r="A43" t="str">
        <f t="shared" si="1"/>
        <v>확률과 통계-1. 경우의 수-M. 여러 가지 순열과 중복 조합-원순열</v>
      </c>
      <c r="B43">
        <v>43</v>
      </c>
      <c r="C43" t="s">
        <v>489</v>
      </c>
      <c r="D43" t="s">
        <v>490</v>
      </c>
      <c r="E43" t="s">
        <v>491</v>
      </c>
      <c r="F43" t="s">
        <v>492</v>
      </c>
      <c r="O43" t="str">
        <f t="shared" si="2"/>
        <v>수학Ⅱ-미분-J. 도함수의 활용-함수의 추론</v>
      </c>
      <c r="P43" t="s">
        <v>155</v>
      </c>
    </row>
    <row r="44" spans="1:16" x14ac:dyDescent="0.3">
      <c r="A44" t="str">
        <f t="shared" si="1"/>
        <v>확률과 통계-1. 경우의 수-M. 여러 가지 순열과 중복 조합-중복 순열</v>
      </c>
      <c r="B44">
        <v>44</v>
      </c>
      <c r="C44" t="s">
        <v>489</v>
      </c>
      <c r="D44" t="s">
        <v>490</v>
      </c>
      <c r="E44" t="s">
        <v>491</v>
      </c>
      <c r="F44" t="s">
        <v>533</v>
      </c>
      <c r="O44" t="str">
        <f t="shared" si="2"/>
        <v>수학Ⅰ-수열-F. 수학적 귀납법-수열의 귀납적 정의</v>
      </c>
      <c r="P44" t="s">
        <v>137</v>
      </c>
    </row>
    <row r="45" spans="1:16" x14ac:dyDescent="0.3">
      <c r="A45" t="str">
        <f t="shared" si="1"/>
        <v>확률과 통계-1. 경우의 수-M. 여러 가지 순열과 중복 조합-같은 것이 있는 순열</v>
      </c>
      <c r="B45">
        <v>45</v>
      </c>
      <c r="C45" t="s">
        <v>489</v>
      </c>
      <c r="D45" t="s">
        <v>490</v>
      </c>
      <c r="E45" t="s">
        <v>491</v>
      </c>
      <c r="F45" t="s">
        <v>534</v>
      </c>
      <c r="O45" t="str">
        <f t="shared" si="2"/>
        <v>수학Ⅰ-지수함수와 로그함수-A. 지수와 로그-지수의 연산</v>
      </c>
      <c r="P45" t="s">
        <v>99</v>
      </c>
    </row>
    <row r="46" spans="1:16" x14ac:dyDescent="0.3">
      <c r="A46" t="str">
        <f t="shared" si="1"/>
        <v>확률과 통계-1. 경우의 수-M. 여러 가지 순열과 중복 조합-중복 조합</v>
      </c>
      <c r="B46">
        <v>46</v>
      </c>
      <c r="C46" t="s">
        <v>489</v>
      </c>
      <c r="D46" t="s">
        <v>490</v>
      </c>
      <c r="E46" t="s">
        <v>491</v>
      </c>
      <c r="F46" t="s">
        <v>535</v>
      </c>
      <c r="O46" t="str">
        <f t="shared" si="2"/>
        <v>수학Ⅱ-미분-I. 도함수-미분계수와 도함수</v>
      </c>
      <c r="P46" t="s">
        <v>101</v>
      </c>
    </row>
    <row r="47" spans="1:16" x14ac:dyDescent="0.3">
      <c r="A47" t="str">
        <f t="shared" si="1"/>
        <v>확률과 통계-1. 경우의 수-N. 이항정리와 이항계수-전개식의 계수</v>
      </c>
      <c r="B47">
        <v>47</v>
      </c>
      <c r="C47" t="s">
        <v>489</v>
      </c>
      <c r="D47" t="s">
        <v>490</v>
      </c>
      <c r="E47" t="s">
        <v>536</v>
      </c>
      <c r="F47" t="s">
        <v>537</v>
      </c>
      <c r="O47" t="str">
        <f t="shared" si="2"/>
        <v>수학Ⅰ-수열-E. 수열의 합-시그마의 뜻과 성질</v>
      </c>
      <c r="P47" t="s">
        <v>150</v>
      </c>
    </row>
    <row r="48" spans="1:16" x14ac:dyDescent="0.3">
      <c r="A48" t="str">
        <f t="shared" si="1"/>
        <v>확률과 통계-1. 경우의 수-N. 이항정리와 이항계수-이항계수의 성질</v>
      </c>
      <c r="B48">
        <v>48</v>
      </c>
      <c r="C48" t="s">
        <v>489</v>
      </c>
      <c r="D48" t="s">
        <v>490</v>
      </c>
      <c r="E48" t="s">
        <v>536</v>
      </c>
      <c r="F48" t="s">
        <v>538</v>
      </c>
      <c r="O48" t="str">
        <f t="shared" si="2"/>
        <v>수학Ⅱ-함수의 극한과 연속-G. 함수의 극한-함수의 극한</v>
      </c>
      <c r="P48" t="s">
        <v>139</v>
      </c>
    </row>
    <row r="49" spans="1:16" x14ac:dyDescent="0.3">
      <c r="A49" t="str">
        <f t="shared" si="1"/>
        <v>확률과 통계-2. 확률-O. 수학적 확률-수학적 확률</v>
      </c>
      <c r="B49">
        <v>49</v>
      </c>
      <c r="C49" t="s">
        <v>489</v>
      </c>
      <c r="D49" t="s">
        <v>667</v>
      </c>
      <c r="E49" t="s">
        <v>540</v>
      </c>
      <c r="F49" t="s">
        <v>539</v>
      </c>
      <c r="O49" t="str">
        <f t="shared" si="2"/>
        <v>수학Ⅱ-미분-I. 도함수-곱함수의 미분법</v>
      </c>
      <c r="P49" t="s">
        <v>146</v>
      </c>
    </row>
    <row r="50" spans="1:16" x14ac:dyDescent="0.3">
      <c r="A50" t="str">
        <f t="shared" si="1"/>
        <v>확률과 통계-2. 확률-P. 조건부 확률-조건부 확률</v>
      </c>
      <c r="B50">
        <v>50</v>
      </c>
      <c r="C50" t="s">
        <v>489</v>
      </c>
      <c r="D50" t="s">
        <v>667</v>
      </c>
      <c r="E50" t="s">
        <v>543</v>
      </c>
      <c r="F50" t="s">
        <v>541</v>
      </c>
      <c r="O50" t="str">
        <f t="shared" si="2"/>
        <v>수학Ⅰ-삼각함수-C. 삼각함수-삼각함수의 값</v>
      </c>
      <c r="P50" t="s">
        <v>103</v>
      </c>
    </row>
    <row r="51" spans="1:16" x14ac:dyDescent="0.3">
      <c r="A51" t="str">
        <f t="shared" si="1"/>
        <v>확률과 통계-2. 확률-P. 조건부 확률-독립과 종속</v>
      </c>
      <c r="B51">
        <v>51</v>
      </c>
      <c r="C51" t="s">
        <v>489</v>
      </c>
      <c r="D51" t="s">
        <v>667</v>
      </c>
      <c r="E51" t="s">
        <v>543</v>
      </c>
      <c r="F51" t="s">
        <v>542</v>
      </c>
      <c r="O51" t="str">
        <f t="shared" si="2"/>
        <v>수학Ⅱ-미분-J. 도함수의 활용-방정식과 부등식에의 활용</v>
      </c>
      <c r="P51" t="s">
        <v>156</v>
      </c>
    </row>
    <row r="52" spans="1:16" x14ac:dyDescent="0.3">
      <c r="A52" t="str">
        <f t="shared" si="1"/>
        <v>확률과 통계-3. 통계-Q. 확률분포-이산확률분포</v>
      </c>
      <c r="B52">
        <v>52</v>
      </c>
      <c r="C52" t="s">
        <v>489</v>
      </c>
      <c r="D52" t="s">
        <v>668</v>
      </c>
      <c r="E52" t="s">
        <v>552</v>
      </c>
      <c r="F52" t="s">
        <v>544</v>
      </c>
      <c r="O52" t="str">
        <f t="shared" si="2"/>
        <v>수학Ⅰ-수열-D. 등차수열과 등비수열-등비수열</v>
      </c>
      <c r="P52" t="s">
        <v>100</v>
      </c>
    </row>
    <row r="53" spans="1:16" x14ac:dyDescent="0.3">
      <c r="A53" t="str">
        <f t="shared" si="1"/>
        <v>확률과 통계-3. 통계-Q. 확률분포-이항분포</v>
      </c>
      <c r="B53">
        <v>53</v>
      </c>
      <c r="C53" t="s">
        <v>489</v>
      </c>
      <c r="D53" t="s">
        <v>668</v>
      </c>
      <c r="E53" t="s">
        <v>552</v>
      </c>
      <c r="F53" t="s">
        <v>545</v>
      </c>
      <c r="O53" t="str">
        <f t="shared" si="2"/>
        <v>수학Ⅱ-함수의 극한과 연속-H. 함수의 연속-함수의 연속</v>
      </c>
      <c r="P53" t="s">
        <v>102</v>
      </c>
    </row>
    <row r="54" spans="1:16" x14ac:dyDescent="0.3">
      <c r="A54" t="str">
        <f t="shared" si="1"/>
        <v>확률과 통계-3. 통계-Q. 확률분포-연속확률분포</v>
      </c>
      <c r="B54">
        <v>54</v>
      </c>
      <c r="C54" t="s">
        <v>489</v>
      </c>
      <c r="D54" t="s">
        <v>668</v>
      </c>
      <c r="E54" t="s">
        <v>552</v>
      </c>
      <c r="F54" t="s">
        <v>546</v>
      </c>
      <c r="O54" t="str">
        <f t="shared" si="2"/>
        <v>수학Ⅰ-삼각함수-C. 삼각함수-사인법칙과 코사인법칙</v>
      </c>
      <c r="P54" t="s">
        <v>133</v>
      </c>
    </row>
    <row r="55" spans="1:16" x14ac:dyDescent="0.3">
      <c r="A55" t="str">
        <f t="shared" si="1"/>
        <v>확률과 통계-3. 통계-Q. 확률분포-정규분포</v>
      </c>
      <c r="B55">
        <v>55</v>
      </c>
      <c r="C55" t="s">
        <v>489</v>
      </c>
      <c r="D55" t="s">
        <v>668</v>
      </c>
      <c r="E55" t="s">
        <v>552</v>
      </c>
      <c r="F55" t="s">
        <v>547</v>
      </c>
      <c r="O55" t="str">
        <f t="shared" si="2"/>
        <v>수학Ⅱ-미분-J. 도함수의 활용-접선의 방정식</v>
      </c>
      <c r="P55" t="s">
        <v>157</v>
      </c>
    </row>
    <row r="56" spans="1:16" x14ac:dyDescent="0.3">
      <c r="A56" t="str">
        <f t="shared" si="1"/>
        <v>확률과 통계-3. 통계-Q. 확률분포-이항분포와 정규분포의 관계</v>
      </c>
      <c r="B56">
        <v>56</v>
      </c>
      <c r="C56" t="s">
        <v>489</v>
      </c>
      <c r="D56" t="s">
        <v>668</v>
      </c>
      <c r="E56" t="s">
        <v>552</v>
      </c>
      <c r="F56" t="s">
        <v>548</v>
      </c>
      <c r="O56" t="str">
        <f t="shared" si="2"/>
        <v>수학Ⅰ-지수함수와 로그함수-B. 지수함수와 로그함수-그래프에서 도형의 성질</v>
      </c>
      <c r="P56" t="s">
        <v>149</v>
      </c>
    </row>
    <row r="57" spans="1:16" x14ac:dyDescent="0.3">
      <c r="A57" t="str">
        <f t="shared" si="1"/>
        <v>확률과 통계-3. 통계-R. 통계적 추정-표본평균</v>
      </c>
      <c r="B57">
        <v>57</v>
      </c>
      <c r="C57" t="s">
        <v>489</v>
      </c>
      <c r="D57" t="s">
        <v>668</v>
      </c>
      <c r="E57" t="s">
        <v>553</v>
      </c>
      <c r="F57" t="s">
        <v>549</v>
      </c>
      <c r="O57" t="str">
        <f t="shared" si="2"/>
        <v>수학Ⅱ-적분-L. 정적분-곡선 사이의 넓이</v>
      </c>
      <c r="P57" t="s">
        <v>110</v>
      </c>
    </row>
    <row r="58" spans="1:16" x14ac:dyDescent="0.3">
      <c r="A58" t="str">
        <f t="shared" si="1"/>
        <v>확률과 통계-3. 통계-R. 통계적 추정-표본평균의 분포</v>
      </c>
      <c r="B58">
        <v>58</v>
      </c>
      <c r="C58" t="s">
        <v>489</v>
      </c>
      <c r="D58" t="s">
        <v>668</v>
      </c>
      <c r="E58" t="s">
        <v>553</v>
      </c>
      <c r="F58" t="s">
        <v>550</v>
      </c>
      <c r="O58" t="str">
        <f t="shared" si="2"/>
        <v>수학Ⅰ-지수함수와 로그함수-B. 지수함수와 로그함수-방정식과 부등식에의 활용</v>
      </c>
      <c r="P58" t="s">
        <v>135</v>
      </c>
    </row>
    <row r="59" spans="1:16" ht="18.75" customHeight="1" x14ac:dyDescent="0.3">
      <c r="A59" t="str">
        <f t="shared" si="1"/>
        <v>확률과 통계-3. 통계-R. 통계적 추정-모평균의 추정</v>
      </c>
      <c r="B59">
        <v>59</v>
      </c>
      <c r="C59" t="s">
        <v>489</v>
      </c>
      <c r="D59" t="s">
        <v>668</v>
      </c>
      <c r="E59" t="s">
        <v>553</v>
      </c>
      <c r="F59" t="s">
        <v>551</v>
      </c>
      <c r="O59" t="str">
        <f t="shared" si="2"/>
        <v>수학Ⅱ-미분-J. 도함수의 활용-함수의 추론</v>
      </c>
      <c r="P59" t="s">
        <v>155</v>
      </c>
    </row>
    <row r="60" spans="1:16" x14ac:dyDescent="0.3">
      <c r="O60" t="str">
        <f t="shared" si="2"/>
        <v>수학Ⅱ-적분-L. 정적분-속도와 거리</v>
      </c>
      <c r="P60" t="s">
        <v>158</v>
      </c>
    </row>
    <row r="61" spans="1:16" x14ac:dyDescent="0.3">
      <c r="O61" t="str">
        <f t="shared" si="2"/>
        <v>수학Ⅰ-삼각함수-C. 삼각함수-삼각함수의 그래프</v>
      </c>
      <c r="P61" t="s">
        <v>159</v>
      </c>
    </row>
    <row r="62" spans="1:16" x14ac:dyDescent="0.3">
      <c r="O62" t="str">
        <f t="shared" si="2"/>
        <v>수학Ⅱ-미분-J. 도함수의 활용-함수의 추론</v>
      </c>
      <c r="P62" t="s">
        <v>155</v>
      </c>
    </row>
    <row r="63" spans="1:16" x14ac:dyDescent="0.3">
      <c r="O63" t="str">
        <f t="shared" si="2"/>
        <v>수학Ⅰ-수열-F. 수학적 귀납법-수열의 귀납적 정의</v>
      </c>
      <c r="P63" t="s">
        <v>137</v>
      </c>
    </row>
    <row r="64" spans="1:16" x14ac:dyDescent="0.3">
      <c r="O64" t="str">
        <f t="shared" si="2"/>
        <v>수학Ⅰ-지수함수와 로그함수-A. 지수와 로그-지수의 연산</v>
      </c>
      <c r="P64" t="s">
        <v>99</v>
      </c>
    </row>
    <row r="65" spans="15:16" x14ac:dyDescent="0.3">
      <c r="O65" t="str">
        <f t="shared" ref="O65:O96" si="3">VLOOKUP(P65,G:H,2,0)</f>
        <v>수학Ⅱ-미분-I. 도함수-미분계수와 도함수</v>
      </c>
      <c r="P65" t="s">
        <v>101</v>
      </c>
    </row>
    <row r="66" spans="15:16" x14ac:dyDescent="0.3">
      <c r="O66" t="str">
        <f t="shared" si="3"/>
        <v>수학Ⅰ-삼각함수-C. 삼각함수-삼각함수의 값</v>
      </c>
      <c r="P66" t="s">
        <v>103</v>
      </c>
    </row>
    <row r="67" spans="15:16" x14ac:dyDescent="0.3">
      <c r="O67" t="str">
        <f t="shared" si="3"/>
        <v>수학Ⅱ-함수의 극한과 연속-H. 함수의 연속-함수의 연속</v>
      </c>
      <c r="P67" t="s">
        <v>102</v>
      </c>
    </row>
    <row r="68" spans="15:16" x14ac:dyDescent="0.3">
      <c r="O68" t="str">
        <f t="shared" si="3"/>
        <v>수학Ⅱ-적분-K. 부정적분-부정적분</v>
      </c>
      <c r="P68" t="s">
        <v>136</v>
      </c>
    </row>
    <row r="69" spans="15:16" x14ac:dyDescent="0.3">
      <c r="O69" t="str">
        <f t="shared" si="3"/>
        <v>수학Ⅰ-수열-D. 등차수열과 등비수열-등비수열</v>
      </c>
      <c r="P69" t="s">
        <v>100</v>
      </c>
    </row>
    <row r="70" spans="15:16" x14ac:dyDescent="0.3">
      <c r="O70" t="str">
        <f t="shared" si="3"/>
        <v>수학Ⅱ-미분-J. 도함수의 활용-극대와 극소</v>
      </c>
      <c r="P70" t="s">
        <v>153</v>
      </c>
    </row>
    <row r="71" spans="15:16" x14ac:dyDescent="0.3">
      <c r="O71" t="str">
        <f t="shared" si="3"/>
        <v>수학Ⅱ-적분-L. 정적분-정적분</v>
      </c>
      <c r="P71" t="s">
        <v>107</v>
      </c>
    </row>
    <row r="72" spans="15:16" x14ac:dyDescent="0.3">
      <c r="O72" t="str">
        <f t="shared" si="3"/>
        <v>수학Ⅰ-지수함수와 로그함수-A. 지수와 로그-로그의 연산</v>
      </c>
      <c r="P72" t="s">
        <v>105</v>
      </c>
    </row>
    <row r="73" spans="15:16" x14ac:dyDescent="0.3">
      <c r="O73" t="str">
        <f t="shared" si="3"/>
        <v>수학Ⅱ-적분-L. 정적분-속도와 거리</v>
      </c>
      <c r="P73" t="s">
        <v>158</v>
      </c>
    </row>
    <row r="74" spans="15:16" x14ac:dyDescent="0.3">
      <c r="O74" t="str">
        <f t="shared" si="3"/>
        <v>수학Ⅰ-수열-E. 수열의 합-여러 가지 수열의 합</v>
      </c>
      <c r="P74" t="s">
        <v>148</v>
      </c>
    </row>
    <row r="75" spans="15:16" x14ac:dyDescent="0.3">
      <c r="O75" t="str">
        <f t="shared" si="3"/>
        <v>수학Ⅱ-미분-J. 도함수의 활용-접선의 방정식</v>
      </c>
      <c r="P75" t="s">
        <v>157</v>
      </c>
    </row>
    <row r="76" spans="15:16" x14ac:dyDescent="0.3">
      <c r="O76" t="str">
        <f t="shared" si="3"/>
        <v>수학Ⅰ-삼각함수-C. 삼각함수-사인법칙과 코사인법칙</v>
      </c>
      <c r="P76" t="s">
        <v>133</v>
      </c>
    </row>
    <row r="77" spans="15:16" x14ac:dyDescent="0.3">
      <c r="O77" t="str">
        <f t="shared" si="3"/>
        <v>수학Ⅱ-미분-J. 도함수의 활용-함수의 추론</v>
      </c>
      <c r="P77" t="s">
        <v>155</v>
      </c>
    </row>
    <row r="78" spans="15:16" x14ac:dyDescent="0.3">
      <c r="O78" t="str">
        <f t="shared" si="3"/>
        <v>수학Ⅰ-수열-F. 수학적 귀납법-수열의 귀납적 정의</v>
      </c>
      <c r="P78" t="s">
        <v>137</v>
      </c>
    </row>
    <row r="79" spans="15:16" x14ac:dyDescent="0.3">
      <c r="O79" t="str">
        <f t="shared" si="3"/>
        <v>수학Ⅰ-지수함수와 로그함수-B. 지수함수와 로그함수-방정식과 부등식에의 활용</v>
      </c>
      <c r="P79" t="s">
        <v>135</v>
      </c>
    </row>
    <row r="80" spans="15:16" x14ac:dyDescent="0.3">
      <c r="O80" t="str">
        <f t="shared" si="3"/>
        <v>수학Ⅱ-미분-I. 도함수-곱함수의 미분법</v>
      </c>
      <c r="P80" t="s">
        <v>146</v>
      </c>
    </row>
    <row r="81" spans="15:16" x14ac:dyDescent="0.3">
      <c r="O81" t="str">
        <f t="shared" si="3"/>
        <v>수학Ⅰ-수열-E. 수열의 합-시그마의 뜻과 성질</v>
      </c>
      <c r="P81" t="s">
        <v>150</v>
      </c>
    </row>
    <row r="82" spans="15:16" x14ac:dyDescent="0.3">
      <c r="O82" t="str">
        <f t="shared" si="3"/>
        <v>수학Ⅰ-삼각함수-C. 삼각함수-방정식과 부등식에의 활용</v>
      </c>
      <c r="P82" t="s">
        <v>154</v>
      </c>
    </row>
    <row r="83" spans="15:16" x14ac:dyDescent="0.3">
      <c r="O83" t="str">
        <f t="shared" si="3"/>
        <v>수학Ⅱ-미분-J. 도함수의 활용-접선의 방정식</v>
      </c>
      <c r="P83" t="s">
        <v>157</v>
      </c>
    </row>
    <row r="84" spans="15:16" x14ac:dyDescent="0.3">
      <c r="O84" t="str">
        <f t="shared" si="3"/>
        <v>수학Ⅰ-지수함수와 로그함수-B. 지수함수와 로그함수-제한된 범위에서 최대 또는 최소</v>
      </c>
      <c r="P84" t="s">
        <v>160</v>
      </c>
    </row>
    <row r="85" spans="15:16" x14ac:dyDescent="0.3">
      <c r="O85" t="str">
        <f t="shared" si="3"/>
        <v>수학Ⅱ-미분-J. 도함수의 활용-함수의 추론</v>
      </c>
      <c r="P85" t="s">
        <v>155</v>
      </c>
    </row>
    <row r="86" spans="15:16" x14ac:dyDescent="0.3">
      <c r="O86" t="str">
        <f t="shared" si="3"/>
        <v>수학Ⅰ-지수함수와 로그함수-A. 지수와 로그-지수의 연산</v>
      </c>
      <c r="P86" t="s">
        <v>99</v>
      </c>
    </row>
    <row r="87" spans="15:16" x14ac:dyDescent="0.3">
      <c r="O87" t="str">
        <f t="shared" si="3"/>
        <v>수학Ⅱ-미분-I. 도함수-미분계수와 도함수</v>
      </c>
      <c r="P87" t="s">
        <v>101</v>
      </c>
    </row>
    <row r="88" spans="15:16" x14ac:dyDescent="0.3">
      <c r="O88" t="str">
        <f t="shared" si="3"/>
        <v>수학Ⅰ-삼각함수-C. 삼각함수-삼각함수의 값</v>
      </c>
      <c r="P88" t="s">
        <v>103</v>
      </c>
    </row>
    <row r="89" spans="15:16" x14ac:dyDescent="0.3">
      <c r="O89" t="str">
        <f t="shared" si="3"/>
        <v>수학Ⅱ-함수의 극한과 연속-G. 함수의 극한-함수의 극한</v>
      </c>
      <c r="P89" t="s">
        <v>139</v>
      </c>
    </row>
    <row r="90" spans="15:16" x14ac:dyDescent="0.3">
      <c r="O90" t="str">
        <f t="shared" si="3"/>
        <v>수학Ⅰ-수열-D. 등차수열과 등비수열-등비수열</v>
      </c>
      <c r="P90" t="s">
        <v>100</v>
      </c>
    </row>
    <row r="91" spans="15:16" x14ac:dyDescent="0.3">
      <c r="O91" t="str">
        <f t="shared" si="3"/>
        <v>수학Ⅱ-미분-J. 도함수의 활용-극대와 극소</v>
      </c>
      <c r="P91" t="s">
        <v>153</v>
      </c>
    </row>
    <row r="92" spans="15:16" x14ac:dyDescent="0.3">
      <c r="O92" t="str">
        <f t="shared" si="3"/>
        <v>수학Ⅰ-지수함수와 로그함수-A. 지수와 로그-로그의 연산</v>
      </c>
      <c r="P92" t="s">
        <v>105</v>
      </c>
    </row>
    <row r="93" spans="15:16" x14ac:dyDescent="0.3">
      <c r="O93" t="str">
        <f t="shared" si="3"/>
        <v>수학Ⅱ-적분-K. 부정적분-부정적분</v>
      </c>
      <c r="P93" t="s">
        <v>136</v>
      </c>
    </row>
    <row r="94" spans="15:16" x14ac:dyDescent="0.3">
      <c r="O94" t="str">
        <f t="shared" si="3"/>
        <v>수학Ⅰ-삼각함수-C. 삼각함수-방정식과 부등식에의 활용</v>
      </c>
      <c r="P94" t="s">
        <v>154</v>
      </c>
    </row>
    <row r="95" spans="15:16" x14ac:dyDescent="0.3">
      <c r="O95" t="str">
        <f t="shared" si="3"/>
        <v>수학Ⅱ-미분-J. 도함수의 활용-접선의 방정식</v>
      </c>
      <c r="P95" t="s">
        <v>157</v>
      </c>
    </row>
    <row r="96" spans="15:16" x14ac:dyDescent="0.3">
      <c r="O96" t="str">
        <f t="shared" si="3"/>
        <v>수학Ⅱ-적분-L. 정적분-속도와 거리</v>
      </c>
      <c r="P96" t="s">
        <v>158</v>
      </c>
    </row>
    <row r="97" spans="15:16" x14ac:dyDescent="0.3">
      <c r="O97" t="str">
        <f t="shared" ref="O97:O128" si="4">VLOOKUP(P97,G:H,2,0)</f>
        <v>수학Ⅰ-수열-F. 수학적 귀납법-수열의 귀납적 정의</v>
      </c>
      <c r="P97" t="s">
        <v>137</v>
      </c>
    </row>
    <row r="98" spans="15:16" x14ac:dyDescent="0.3">
      <c r="O98" t="str">
        <f t="shared" si="4"/>
        <v>수학Ⅱ-미분-J. 도함수의 활용-그래프의 개형</v>
      </c>
      <c r="P98" t="s">
        <v>140</v>
      </c>
    </row>
    <row r="99" spans="15:16" x14ac:dyDescent="0.3">
      <c r="O99" t="str">
        <f t="shared" si="4"/>
        <v>수학Ⅰ-지수함수와 로그함수-B. 지수함수와 로그함수-지수함수의 그래프</v>
      </c>
      <c r="P99" t="s">
        <v>138</v>
      </c>
    </row>
    <row r="100" spans="15:16" x14ac:dyDescent="0.3">
      <c r="O100" t="str">
        <f t="shared" si="4"/>
        <v>수학Ⅱ-함수의 극한과 연속-H. 함수의 연속-함수의 연속</v>
      </c>
      <c r="P100" t="s">
        <v>102</v>
      </c>
    </row>
    <row r="101" spans="15:16" x14ac:dyDescent="0.3">
      <c r="O101" t="str">
        <f t="shared" si="4"/>
        <v>수학Ⅰ-지수함수와 로그함수-B. 지수함수와 로그함수-방정식과 부등식에의 활용</v>
      </c>
      <c r="P101" t="s">
        <v>135</v>
      </c>
    </row>
    <row r="102" spans="15:16" x14ac:dyDescent="0.3">
      <c r="O102" t="str">
        <f t="shared" si="4"/>
        <v>수학Ⅰ-수열-E. 수열의 합-시그마의 뜻과 성질</v>
      </c>
      <c r="P102" t="s">
        <v>150</v>
      </c>
    </row>
    <row r="103" spans="15:16" x14ac:dyDescent="0.3">
      <c r="O103" t="str">
        <f t="shared" si="4"/>
        <v>수학Ⅱ-미분-I. 도함수-곱함수의 미분법</v>
      </c>
      <c r="P103" t="s">
        <v>146</v>
      </c>
    </row>
    <row r="104" spans="15:16" x14ac:dyDescent="0.3">
      <c r="O104" t="str">
        <f t="shared" si="4"/>
        <v>수학Ⅱ-적분-L. 정적분-곡선 사이의 넓이</v>
      </c>
      <c r="P104" t="s">
        <v>110</v>
      </c>
    </row>
    <row r="105" spans="15:16" x14ac:dyDescent="0.3">
      <c r="O105" t="str">
        <f t="shared" si="4"/>
        <v>수학Ⅰ-삼각함수-C. 삼각함수-사인법칙과 코사인법칙</v>
      </c>
      <c r="P105" t="s">
        <v>133</v>
      </c>
    </row>
    <row r="106" spans="15:16" x14ac:dyDescent="0.3">
      <c r="O106" t="str">
        <f t="shared" si="4"/>
        <v>수학Ⅰ-수열-E. 수열의 합-여러 가지 수열의 합</v>
      </c>
      <c r="P106" t="s">
        <v>148</v>
      </c>
    </row>
    <row r="107" spans="15:16" x14ac:dyDescent="0.3">
      <c r="O107" t="str">
        <f t="shared" si="4"/>
        <v>수학Ⅱ-적분-L. 정적분-미적분학의 기본 정리</v>
      </c>
      <c r="P107" t="s">
        <v>104</v>
      </c>
    </row>
    <row r="108" spans="15:16" x14ac:dyDescent="0.3">
      <c r="O108" t="str">
        <f t="shared" si="4"/>
        <v>수학Ⅰ-지수함수와 로그함수-A. 지수와 로그-지수의 연산</v>
      </c>
      <c r="P108" t="s">
        <v>99</v>
      </c>
    </row>
    <row r="109" spans="15:16" x14ac:dyDescent="0.3">
      <c r="O109" t="str">
        <f t="shared" si="4"/>
        <v>수학Ⅱ-미분-I. 도함수-미분계수와 도함수</v>
      </c>
      <c r="P109" t="s">
        <v>101</v>
      </c>
    </row>
    <row r="110" spans="15:16" x14ac:dyDescent="0.3">
      <c r="O110" t="str">
        <f t="shared" si="4"/>
        <v>수학Ⅰ-수열-E. 수열의 합-시그마의 뜻과 성질</v>
      </c>
      <c r="P110" t="s">
        <v>150</v>
      </c>
    </row>
    <row r="111" spans="15:16" x14ac:dyDescent="0.3">
      <c r="O111" t="str">
        <f t="shared" si="4"/>
        <v>수학Ⅱ-함수의 극한과 연속-H. 함수의 연속-함수의 연속</v>
      </c>
      <c r="P111" t="s">
        <v>102</v>
      </c>
    </row>
    <row r="112" spans="15:16" x14ac:dyDescent="0.3">
      <c r="O112" t="str">
        <f t="shared" si="4"/>
        <v>수학Ⅱ-미분-I. 도함수-곱함수의 미분법</v>
      </c>
      <c r="P112" t="s">
        <v>146</v>
      </c>
    </row>
    <row r="113" spans="15:16" x14ac:dyDescent="0.3">
      <c r="O113" t="str">
        <f t="shared" si="4"/>
        <v>수학Ⅰ-삼각함수-C. 삼각함수-삼각함수의 값</v>
      </c>
      <c r="P113" t="s">
        <v>103</v>
      </c>
    </row>
    <row r="114" spans="15:16" x14ac:dyDescent="0.3">
      <c r="O114" t="str">
        <f t="shared" si="4"/>
        <v>수학Ⅰ-지수함수와 로그함수-B. 지수함수와 로그함수-로그함수의 그래프</v>
      </c>
      <c r="P114" t="s">
        <v>161</v>
      </c>
    </row>
    <row r="115" spans="15:16" x14ac:dyDescent="0.3">
      <c r="O115" t="str">
        <f t="shared" si="4"/>
        <v>수학Ⅱ-미분-J. 도함수의 활용-방정식과 부등식에의 활용</v>
      </c>
      <c r="P115" t="s">
        <v>156</v>
      </c>
    </row>
    <row r="116" spans="15:16" x14ac:dyDescent="0.3">
      <c r="O116" t="str">
        <f t="shared" si="4"/>
        <v>수학Ⅰ-수열-E. 수열의 합-수열의 합과 일반항 사이의 관계</v>
      </c>
      <c r="P116" t="s">
        <v>109</v>
      </c>
    </row>
    <row r="117" spans="15:16" x14ac:dyDescent="0.3">
      <c r="O117" t="str">
        <f t="shared" si="4"/>
        <v>수학Ⅱ-적분-L. 정적분-곡선 사이의 넓이</v>
      </c>
      <c r="P117" t="s">
        <v>110</v>
      </c>
    </row>
    <row r="118" spans="15:16" x14ac:dyDescent="0.3">
      <c r="O118" t="str">
        <f t="shared" si="4"/>
        <v>수학Ⅱ-함수의 극한과 연속-G. 함수의 극한-그래프와 도형의 성질에 관한 극한</v>
      </c>
      <c r="P118" t="s">
        <v>162</v>
      </c>
    </row>
    <row r="119" spans="15:16" x14ac:dyDescent="0.3">
      <c r="O119" t="str">
        <f t="shared" si="4"/>
        <v>수학Ⅰ-수열-D. 등차수열과 등비수열-등차수열</v>
      </c>
      <c r="P119" t="s">
        <v>163</v>
      </c>
    </row>
    <row r="120" spans="15:16" x14ac:dyDescent="0.3">
      <c r="O120" t="str">
        <f t="shared" si="4"/>
        <v>수학Ⅰ-삼각함수-C. 삼각함수-사인법칙과 코사인법칙</v>
      </c>
      <c r="P120" t="s">
        <v>133</v>
      </c>
    </row>
    <row r="121" spans="15:16" x14ac:dyDescent="0.3">
      <c r="O121" t="str">
        <f t="shared" si="4"/>
        <v>수학Ⅱ-적분-L. 정적분-속도와 거리</v>
      </c>
      <c r="P121" t="s">
        <v>158</v>
      </c>
    </row>
    <row r="122" spans="15:16" x14ac:dyDescent="0.3">
      <c r="O122" t="str">
        <f t="shared" si="4"/>
        <v>수학Ⅰ-수열-F. 수학적 귀납법-수열의 귀납적 정의</v>
      </c>
      <c r="P122" t="s">
        <v>137</v>
      </c>
    </row>
    <row r="123" spans="15:16" x14ac:dyDescent="0.3">
      <c r="O123" t="str">
        <f t="shared" si="4"/>
        <v>수학Ⅰ-지수함수와 로그함수-B. 지수함수와 로그함수-방정식과 부등식에의 활용</v>
      </c>
      <c r="P123" t="s">
        <v>135</v>
      </c>
    </row>
    <row r="124" spans="15:16" x14ac:dyDescent="0.3">
      <c r="O124" t="str">
        <f t="shared" si="4"/>
        <v>수학Ⅱ-적분-K. 부정적분-부정적분</v>
      </c>
      <c r="P124" t="s">
        <v>136</v>
      </c>
    </row>
    <row r="125" spans="15:16" x14ac:dyDescent="0.3">
      <c r="O125" t="str">
        <f t="shared" si="4"/>
        <v>수학Ⅱ-미분-J. 도함수의 활용-극대와 극소</v>
      </c>
      <c r="P125" t="s">
        <v>153</v>
      </c>
    </row>
    <row r="126" spans="15:16" x14ac:dyDescent="0.3">
      <c r="O126" t="str">
        <f t="shared" si="4"/>
        <v>수학Ⅰ-삼각함수-C. 삼각함수-방정식과 부등식에의 활용</v>
      </c>
      <c r="P126" t="s">
        <v>154</v>
      </c>
    </row>
    <row r="127" spans="15:16" x14ac:dyDescent="0.3">
      <c r="O127" t="str">
        <f t="shared" si="4"/>
        <v>수학Ⅱ-미분-J. 도함수의 활용-함수의 추론</v>
      </c>
      <c r="P127" t="s">
        <v>155</v>
      </c>
    </row>
    <row r="128" spans="15:16" x14ac:dyDescent="0.3">
      <c r="O128" t="str">
        <f t="shared" si="4"/>
        <v>수학Ⅰ-지수함수와 로그함수-B. 지수함수와 로그함수-명제의 진위 판단</v>
      </c>
      <c r="P128" t="s">
        <v>164</v>
      </c>
    </row>
    <row r="129" spans="15:16" x14ac:dyDescent="0.3">
      <c r="O129" t="str">
        <f t="shared" ref="O129:O160" si="5">VLOOKUP(P129,G:H,2,0)</f>
        <v>수학Ⅱ-미분-J. 도함수의 활용-그래프의 개형</v>
      </c>
      <c r="P129" t="s">
        <v>140</v>
      </c>
    </row>
    <row r="130" spans="15:16" x14ac:dyDescent="0.3">
      <c r="O130" t="str">
        <f t="shared" si="5"/>
        <v>수학Ⅰ-지수함수와 로그함수-A. 지수와 로그-지수의 연산</v>
      </c>
      <c r="P130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C2BB-8234-470E-8EAC-BCB243D5C57B}">
  <sheetPr codeName="Sheet6"/>
  <dimension ref="A1:G42"/>
  <sheetViews>
    <sheetView workbookViewId="0">
      <selection activeCell="K1" sqref="K1"/>
    </sheetView>
  </sheetViews>
  <sheetFormatPr defaultRowHeight="16.5" x14ac:dyDescent="0.3"/>
  <sheetData>
    <row r="1" spans="1:7" x14ac:dyDescent="0.3">
      <c r="A1" t="s">
        <v>12</v>
      </c>
      <c r="B1" t="str">
        <f>VLOOKUP(A1,$F$1:$G$12,2,0)</f>
        <v>A. 지수와 로그</v>
      </c>
      <c r="E1" t="s">
        <v>171</v>
      </c>
      <c r="F1" t="s">
        <v>12</v>
      </c>
      <c r="G1" t="str">
        <f>E1&amp;F1</f>
        <v>A. 지수와 로그</v>
      </c>
    </row>
    <row r="2" spans="1:7" x14ac:dyDescent="0.3">
      <c r="A2" t="s">
        <v>12</v>
      </c>
      <c r="B2" t="str">
        <f t="shared" ref="B2:B42" si="0">VLOOKUP(A2,$F$1:$G$12,2,0)</f>
        <v>A. 지수와 로그</v>
      </c>
      <c r="E2" t="s">
        <v>172</v>
      </c>
      <c r="F2" t="s">
        <v>11</v>
      </c>
      <c r="G2" t="str">
        <f t="shared" ref="G2:G12" si="1">E2&amp;F2</f>
        <v>B. 지수함수와 로그함수</v>
      </c>
    </row>
    <row r="3" spans="1:7" x14ac:dyDescent="0.3">
      <c r="A3" t="s">
        <v>12</v>
      </c>
      <c r="B3" t="str">
        <f t="shared" si="0"/>
        <v>A. 지수와 로그</v>
      </c>
      <c r="E3" t="s">
        <v>173</v>
      </c>
      <c r="F3" t="s">
        <v>13</v>
      </c>
      <c r="G3" t="str">
        <f t="shared" si="1"/>
        <v>C. 삼각함수</v>
      </c>
    </row>
    <row r="4" spans="1:7" x14ac:dyDescent="0.3">
      <c r="A4" t="s">
        <v>11</v>
      </c>
      <c r="B4" t="str">
        <f t="shared" si="0"/>
        <v>B. 지수함수와 로그함수</v>
      </c>
      <c r="E4" t="s">
        <v>174</v>
      </c>
      <c r="F4" t="s">
        <v>15</v>
      </c>
      <c r="G4" t="str">
        <f t="shared" si="1"/>
        <v>D. 등차수열과 등비수열</v>
      </c>
    </row>
    <row r="5" spans="1:7" x14ac:dyDescent="0.3">
      <c r="A5" t="s">
        <v>11</v>
      </c>
      <c r="B5" t="str">
        <f t="shared" si="0"/>
        <v>B. 지수함수와 로그함수</v>
      </c>
      <c r="E5" t="s">
        <v>175</v>
      </c>
      <c r="F5" t="s">
        <v>16</v>
      </c>
      <c r="G5" t="str">
        <f t="shared" si="1"/>
        <v>E. 수열의 합</v>
      </c>
    </row>
    <row r="6" spans="1:7" x14ac:dyDescent="0.3">
      <c r="A6" t="s">
        <v>11</v>
      </c>
      <c r="B6" t="str">
        <f t="shared" si="0"/>
        <v>B. 지수함수와 로그함수</v>
      </c>
      <c r="E6" t="s">
        <v>176</v>
      </c>
      <c r="F6" t="s">
        <v>17</v>
      </c>
      <c r="G6" t="str">
        <f t="shared" si="1"/>
        <v>F. 수학적 귀납법</v>
      </c>
    </row>
    <row r="7" spans="1:7" x14ac:dyDescent="0.3">
      <c r="A7" t="s">
        <v>11</v>
      </c>
      <c r="B7" t="str">
        <f t="shared" si="0"/>
        <v>B. 지수함수와 로그함수</v>
      </c>
      <c r="E7" t="s">
        <v>177</v>
      </c>
      <c r="F7" t="s">
        <v>20</v>
      </c>
      <c r="G7" t="str">
        <f t="shared" si="1"/>
        <v>G. 함수의 극한</v>
      </c>
    </row>
    <row r="8" spans="1:7" x14ac:dyDescent="0.3">
      <c r="A8" t="s">
        <v>11</v>
      </c>
      <c r="B8" t="str">
        <f t="shared" si="0"/>
        <v>B. 지수함수와 로그함수</v>
      </c>
      <c r="E8" t="s">
        <v>178</v>
      </c>
      <c r="F8" t="s">
        <v>21</v>
      </c>
      <c r="G8" t="str">
        <f t="shared" si="1"/>
        <v>H. 함수의 연속</v>
      </c>
    </row>
    <row r="9" spans="1:7" x14ac:dyDescent="0.3">
      <c r="A9" t="s">
        <v>11</v>
      </c>
      <c r="B9" t="str">
        <f t="shared" si="0"/>
        <v>B. 지수함수와 로그함수</v>
      </c>
      <c r="E9" t="s">
        <v>179</v>
      </c>
      <c r="F9" t="s">
        <v>23</v>
      </c>
      <c r="G9" t="str">
        <f t="shared" si="1"/>
        <v>I. 도함수</v>
      </c>
    </row>
    <row r="10" spans="1:7" x14ac:dyDescent="0.3">
      <c r="A10" t="s">
        <v>11</v>
      </c>
      <c r="B10" t="str">
        <f t="shared" si="0"/>
        <v>B. 지수함수와 로그함수</v>
      </c>
      <c r="E10" t="s">
        <v>180</v>
      </c>
      <c r="F10" t="s">
        <v>24</v>
      </c>
      <c r="G10" t="str">
        <f t="shared" si="1"/>
        <v>J. 도함수의 활용</v>
      </c>
    </row>
    <row r="11" spans="1:7" x14ac:dyDescent="0.3">
      <c r="A11" t="s">
        <v>13</v>
      </c>
      <c r="B11" t="str">
        <f t="shared" si="0"/>
        <v>C. 삼각함수</v>
      </c>
      <c r="E11" t="s">
        <v>181</v>
      </c>
      <c r="F11" t="s">
        <v>26</v>
      </c>
      <c r="G11" t="str">
        <f t="shared" si="1"/>
        <v>K. 부정적분</v>
      </c>
    </row>
    <row r="12" spans="1:7" x14ac:dyDescent="0.3">
      <c r="A12" t="s">
        <v>13</v>
      </c>
      <c r="B12" t="str">
        <f t="shared" si="0"/>
        <v>C. 삼각함수</v>
      </c>
      <c r="E12" t="s">
        <v>182</v>
      </c>
      <c r="F12" t="s">
        <v>27</v>
      </c>
      <c r="G12" t="str">
        <f t="shared" si="1"/>
        <v>L. 정적분</v>
      </c>
    </row>
    <row r="13" spans="1:7" x14ac:dyDescent="0.3">
      <c r="A13" t="s">
        <v>13</v>
      </c>
      <c r="B13" t="str">
        <f t="shared" si="0"/>
        <v>C. 삼각함수</v>
      </c>
    </row>
    <row r="14" spans="1:7" x14ac:dyDescent="0.3">
      <c r="A14" t="s">
        <v>13</v>
      </c>
      <c r="B14" t="str">
        <f t="shared" si="0"/>
        <v>C. 삼각함수</v>
      </c>
    </row>
    <row r="15" spans="1:7" x14ac:dyDescent="0.3">
      <c r="A15" t="s">
        <v>13</v>
      </c>
      <c r="B15" t="str">
        <f t="shared" si="0"/>
        <v>C. 삼각함수</v>
      </c>
    </row>
    <row r="16" spans="1:7" x14ac:dyDescent="0.3">
      <c r="A16" t="s">
        <v>15</v>
      </c>
      <c r="B16" t="str">
        <f t="shared" si="0"/>
        <v>D. 등차수열과 등비수열</v>
      </c>
    </row>
    <row r="17" spans="1:2" x14ac:dyDescent="0.3">
      <c r="A17" t="s">
        <v>15</v>
      </c>
      <c r="B17" t="str">
        <f t="shared" si="0"/>
        <v>D. 등차수열과 등비수열</v>
      </c>
    </row>
    <row r="18" spans="1:2" x14ac:dyDescent="0.3">
      <c r="A18" t="s">
        <v>16</v>
      </c>
      <c r="B18" t="str">
        <f t="shared" si="0"/>
        <v>E. 수열의 합</v>
      </c>
    </row>
    <row r="19" spans="1:2" x14ac:dyDescent="0.3">
      <c r="A19" t="s">
        <v>16</v>
      </c>
      <c r="B19" t="str">
        <f t="shared" si="0"/>
        <v>E. 수열의 합</v>
      </c>
    </row>
    <row r="20" spans="1:2" x14ac:dyDescent="0.3">
      <c r="A20" t="s">
        <v>16</v>
      </c>
      <c r="B20" t="str">
        <f t="shared" si="0"/>
        <v>E. 수열의 합</v>
      </c>
    </row>
    <row r="21" spans="1:2" x14ac:dyDescent="0.3">
      <c r="A21" t="s">
        <v>17</v>
      </c>
      <c r="B21" t="str">
        <f t="shared" si="0"/>
        <v>F. 수학적 귀납법</v>
      </c>
    </row>
    <row r="22" spans="1:2" x14ac:dyDescent="0.3">
      <c r="A22" t="s">
        <v>17</v>
      </c>
      <c r="B22" t="str">
        <f t="shared" si="0"/>
        <v>F. 수학적 귀납법</v>
      </c>
    </row>
    <row r="23" spans="1:2" x14ac:dyDescent="0.3">
      <c r="A23" t="s">
        <v>20</v>
      </c>
      <c r="B23" t="str">
        <f t="shared" si="0"/>
        <v>G. 함수의 극한</v>
      </c>
    </row>
    <row r="24" spans="1:2" x14ac:dyDescent="0.3">
      <c r="A24" t="s">
        <v>20</v>
      </c>
      <c r="B24" t="str">
        <f t="shared" si="0"/>
        <v>G. 함수의 극한</v>
      </c>
    </row>
    <row r="25" spans="1:2" x14ac:dyDescent="0.3">
      <c r="A25" t="s">
        <v>21</v>
      </c>
      <c r="B25" t="str">
        <f t="shared" si="0"/>
        <v>H. 함수의 연속</v>
      </c>
    </row>
    <row r="26" spans="1:2" x14ac:dyDescent="0.3">
      <c r="A26" t="s">
        <v>21</v>
      </c>
      <c r="B26" t="str">
        <f t="shared" si="0"/>
        <v>H. 함수의 연속</v>
      </c>
    </row>
    <row r="27" spans="1:2" x14ac:dyDescent="0.3">
      <c r="A27" t="s">
        <v>21</v>
      </c>
      <c r="B27" t="str">
        <f t="shared" si="0"/>
        <v>H. 함수의 연속</v>
      </c>
    </row>
    <row r="28" spans="1:2" x14ac:dyDescent="0.3">
      <c r="A28" t="s">
        <v>23</v>
      </c>
      <c r="B28" t="str">
        <f t="shared" si="0"/>
        <v>I. 도함수</v>
      </c>
    </row>
    <row r="29" spans="1:2" x14ac:dyDescent="0.3">
      <c r="A29" t="s">
        <v>23</v>
      </c>
      <c r="B29" t="str">
        <f t="shared" si="0"/>
        <v>I. 도함수</v>
      </c>
    </row>
    <row r="30" spans="1:2" x14ac:dyDescent="0.3">
      <c r="A30" t="s">
        <v>23</v>
      </c>
      <c r="B30" t="str">
        <f t="shared" si="0"/>
        <v>I. 도함수</v>
      </c>
    </row>
    <row r="31" spans="1:2" x14ac:dyDescent="0.3">
      <c r="A31" t="s">
        <v>24</v>
      </c>
      <c r="B31" t="str">
        <f t="shared" si="0"/>
        <v>J. 도함수의 활용</v>
      </c>
    </row>
    <row r="32" spans="1:2" x14ac:dyDescent="0.3">
      <c r="A32" t="s">
        <v>24</v>
      </c>
      <c r="B32" t="str">
        <f t="shared" si="0"/>
        <v>J. 도함수의 활용</v>
      </c>
    </row>
    <row r="33" spans="1:2" x14ac:dyDescent="0.3">
      <c r="A33" t="s">
        <v>24</v>
      </c>
      <c r="B33" t="str">
        <f t="shared" si="0"/>
        <v>J. 도함수의 활용</v>
      </c>
    </row>
    <row r="34" spans="1:2" x14ac:dyDescent="0.3">
      <c r="A34" t="s">
        <v>24</v>
      </c>
      <c r="B34" t="str">
        <f t="shared" si="0"/>
        <v>J. 도함수의 활용</v>
      </c>
    </row>
    <row r="35" spans="1:2" x14ac:dyDescent="0.3">
      <c r="A35" t="s">
        <v>24</v>
      </c>
      <c r="B35" t="str">
        <f t="shared" si="0"/>
        <v>J. 도함수의 활용</v>
      </c>
    </row>
    <row r="36" spans="1:2" x14ac:dyDescent="0.3">
      <c r="A36" t="s">
        <v>24</v>
      </c>
      <c r="B36" t="str">
        <f t="shared" si="0"/>
        <v>J. 도함수의 활용</v>
      </c>
    </row>
    <row r="37" spans="1:2" x14ac:dyDescent="0.3">
      <c r="A37" t="s">
        <v>26</v>
      </c>
      <c r="B37" t="str">
        <f t="shared" si="0"/>
        <v>K. 부정적분</v>
      </c>
    </row>
    <row r="38" spans="1:2" x14ac:dyDescent="0.3">
      <c r="A38" t="s">
        <v>27</v>
      </c>
      <c r="B38" t="str">
        <f t="shared" si="0"/>
        <v>L. 정적분</v>
      </c>
    </row>
    <row r="39" spans="1:2" x14ac:dyDescent="0.3">
      <c r="A39" t="s">
        <v>27</v>
      </c>
      <c r="B39" t="str">
        <f t="shared" si="0"/>
        <v>L. 정적분</v>
      </c>
    </row>
    <row r="40" spans="1:2" x14ac:dyDescent="0.3">
      <c r="A40" t="s">
        <v>27</v>
      </c>
      <c r="B40" t="str">
        <f t="shared" si="0"/>
        <v>L. 정적분</v>
      </c>
    </row>
    <row r="41" spans="1:2" x14ac:dyDescent="0.3">
      <c r="A41" t="s">
        <v>27</v>
      </c>
      <c r="B41" t="str">
        <f t="shared" si="0"/>
        <v>L. 정적분</v>
      </c>
    </row>
    <row r="42" spans="1:2" x14ac:dyDescent="0.3">
      <c r="A42" t="s">
        <v>27</v>
      </c>
      <c r="B42" t="str">
        <f t="shared" si="0"/>
        <v>L. 정적분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9E81-DD8D-4461-B3FE-CD5D33172FCD}">
  <sheetPr codeName="Sheet7"/>
  <dimension ref="B1:E41"/>
  <sheetViews>
    <sheetView workbookViewId="0">
      <selection activeCell="D1" sqref="D1"/>
    </sheetView>
  </sheetViews>
  <sheetFormatPr defaultRowHeight="16.5" x14ac:dyDescent="0.3"/>
  <cols>
    <col min="2" max="2" width="7" bestFit="1" customWidth="1"/>
    <col min="3" max="4" width="20" bestFit="1" customWidth="1"/>
    <col min="5" max="5" width="38.375" bestFit="1" customWidth="1"/>
  </cols>
  <sheetData>
    <row r="1" spans="2:5" x14ac:dyDescent="0.3">
      <c r="B1" t="s">
        <v>10</v>
      </c>
      <c r="C1" t="s">
        <v>11</v>
      </c>
      <c r="D1" t="s">
        <v>12</v>
      </c>
      <c r="E1" t="s">
        <v>61</v>
      </c>
    </row>
    <row r="2" spans="2:5" x14ac:dyDescent="0.3">
      <c r="B2" t="s">
        <v>10</v>
      </c>
      <c r="C2" t="s">
        <v>11</v>
      </c>
      <c r="D2" t="s">
        <v>12</v>
      </c>
      <c r="E2" t="s">
        <v>63</v>
      </c>
    </row>
    <row r="3" spans="2:5" x14ac:dyDescent="0.3">
      <c r="B3" t="s">
        <v>10</v>
      </c>
      <c r="C3" t="s">
        <v>11</v>
      </c>
      <c r="D3" t="s">
        <v>12</v>
      </c>
      <c r="E3" t="s">
        <v>65</v>
      </c>
    </row>
    <row r="4" spans="2:5" x14ac:dyDescent="0.3">
      <c r="B4" t="s">
        <v>10</v>
      </c>
      <c r="C4" t="s">
        <v>11</v>
      </c>
      <c r="D4" t="s">
        <v>11</v>
      </c>
      <c r="E4" t="s">
        <v>30</v>
      </c>
    </row>
    <row r="5" spans="2:5" x14ac:dyDescent="0.3">
      <c r="B5" t="s">
        <v>10</v>
      </c>
      <c r="C5" t="s">
        <v>11</v>
      </c>
      <c r="D5" t="s">
        <v>11</v>
      </c>
      <c r="E5" t="s">
        <v>32</v>
      </c>
    </row>
    <row r="6" spans="2:5" x14ac:dyDescent="0.3">
      <c r="B6" t="s">
        <v>10</v>
      </c>
      <c r="C6" t="s">
        <v>11</v>
      </c>
      <c r="D6" t="s">
        <v>11</v>
      </c>
      <c r="E6" t="s">
        <v>69</v>
      </c>
    </row>
    <row r="7" spans="2:5" x14ac:dyDescent="0.3">
      <c r="B7" t="s">
        <v>10</v>
      </c>
      <c r="C7" t="s">
        <v>11</v>
      </c>
      <c r="D7" t="s">
        <v>11</v>
      </c>
      <c r="E7" t="s">
        <v>71</v>
      </c>
    </row>
    <row r="8" spans="2:5" x14ac:dyDescent="0.3">
      <c r="B8" t="s">
        <v>10</v>
      </c>
      <c r="C8" t="s">
        <v>11</v>
      </c>
      <c r="D8" t="s">
        <v>11</v>
      </c>
      <c r="E8" t="s">
        <v>67</v>
      </c>
    </row>
    <row r="9" spans="2:5" x14ac:dyDescent="0.3">
      <c r="B9" t="s">
        <v>10</v>
      </c>
      <c r="C9" t="s">
        <v>11</v>
      </c>
      <c r="D9" t="s">
        <v>11</v>
      </c>
      <c r="E9" t="s">
        <v>73</v>
      </c>
    </row>
    <row r="10" spans="2:5" x14ac:dyDescent="0.3">
      <c r="B10" t="s">
        <v>10</v>
      </c>
      <c r="C10" t="s">
        <v>11</v>
      </c>
      <c r="D10" t="s">
        <v>11</v>
      </c>
      <c r="E10" t="s">
        <v>75</v>
      </c>
    </row>
    <row r="11" spans="2:5" x14ac:dyDescent="0.3">
      <c r="B11" t="s">
        <v>10</v>
      </c>
      <c r="C11" t="s">
        <v>13</v>
      </c>
      <c r="D11" t="s">
        <v>13</v>
      </c>
      <c r="E11" t="s">
        <v>34</v>
      </c>
    </row>
    <row r="12" spans="2:5" x14ac:dyDescent="0.3">
      <c r="B12" t="s">
        <v>10</v>
      </c>
      <c r="C12" t="s">
        <v>13</v>
      </c>
      <c r="D12" t="s">
        <v>13</v>
      </c>
      <c r="E12" t="s">
        <v>77</v>
      </c>
    </row>
    <row r="13" spans="2:5" x14ac:dyDescent="0.3">
      <c r="B13" t="s">
        <v>10</v>
      </c>
      <c r="C13" t="s">
        <v>13</v>
      </c>
      <c r="D13" t="s">
        <v>13</v>
      </c>
      <c r="E13" t="s">
        <v>69</v>
      </c>
    </row>
    <row r="14" spans="2:5" x14ac:dyDescent="0.3">
      <c r="B14" t="s">
        <v>10</v>
      </c>
      <c r="C14" t="s">
        <v>13</v>
      </c>
      <c r="D14" t="s">
        <v>13</v>
      </c>
      <c r="E14" t="s">
        <v>79</v>
      </c>
    </row>
    <row r="15" spans="2:5" x14ac:dyDescent="0.3">
      <c r="B15" t="s">
        <v>10</v>
      </c>
      <c r="C15" t="s">
        <v>13</v>
      </c>
      <c r="D15" t="s">
        <v>13</v>
      </c>
      <c r="E15" t="s">
        <v>35</v>
      </c>
    </row>
    <row r="16" spans="2:5" x14ac:dyDescent="0.3">
      <c r="B16" t="s">
        <v>10</v>
      </c>
      <c r="C16" t="s">
        <v>14</v>
      </c>
      <c r="D16" t="s">
        <v>15</v>
      </c>
      <c r="E16" t="s">
        <v>37</v>
      </c>
    </row>
    <row r="17" spans="2:5" x14ac:dyDescent="0.3">
      <c r="B17" t="s">
        <v>10</v>
      </c>
      <c r="C17" t="s">
        <v>14</v>
      </c>
      <c r="D17" t="s">
        <v>15</v>
      </c>
      <c r="E17" t="s">
        <v>39</v>
      </c>
    </row>
    <row r="18" spans="2:5" x14ac:dyDescent="0.3">
      <c r="B18" t="s">
        <v>10</v>
      </c>
      <c r="C18" t="s">
        <v>14</v>
      </c>
      <c r="D18" t="s">
        <v>16</v>
      </c>
      <c r="E18" t="s">
        <v>41</v>
      </c>
    </row>
    <row r="19" spans="2:5" x14ac:dyDescent="0.3">
      <c r="B19" t="s">
        <v>10</v>
      </c>
      <c r="C19" t="s">
        <v>14</v>
      </c>
      <c r="D19" t="s">
        <v>16</v>
      </c>
      <c r="E19" t="s">
        <v>43</v>
      </c>
    </row>
    <row r="20" spans="2:5" x14ac:dyDescent="0.3">
      <c r="B20" t="s">
        <v>10</v>
      </c>
      <c r="C20" t="s">
        <v>14</v>
      </c>
      <c r="D20" t="s">
        <v>16</v>
      </c>
      <c r="E20" t="s">
        <v>80</v>
      </c>
    </row>
    <row r="21" spans="2:5" x14ac:dyDescent="0.3">
      <c r="B21" t="s">
        <v>10</v>
      </c>
      <c r="C21" t="s">
        <v>14</v>
      </c>
      <c r="D21" t="s">
        <v>17</v>
      </c>
      <c r="E21" t="s">
        <v>45</v>
      </c>
    </row>
    <row r="22" spans="2:5" x14ac:dyDescent="0.3">
      <c r="B22" t="s">
        <v>10</v>
      </c>
      <c r="C22" t="s">
        <v>14</v>
      </c>
      <c r="D22" t="s">
        <v>17</v>
      </c>
      <c r="E22" t="s">
        <v>46</v>
      </c>
    </row>
    <row r="23" spans="2:5" x14ac:dyDescent="0.3">
      <c r="B23" t="s">
        <v>18</v>
      </c>
      <c r="C23" t="s">
        <v>19</v>
      </c>
      <c r="D23" t="s">
        <v>20</v>
      </c>
      <c r="E23" t="s">
        <v>81</v>
      </c>
    </row>
    <row r="24" spans="2:5" x14ac:dyDescent="0.3">
      <c r="B24" t="s">
        <v>18</v>
      </c>
      <c r="C24" t="s">
        <v>19</v>
      </c>
      <c r="D24" t="s">
        <v>20</v>
      </c>
      <c r="E24" t="s">
        <v>83</v>
      </c>
    </row>
    <row r="25" spans="2:5" x14ac:dyDescent="0.3">
      <c r="B25" t="s">
        <v>18</v>
      </c>
      <c r="C25" t="s">
        <v>19</v>
      </c>
      <c r="D25" t="s">
        <v>21</v>
      </c>
      <c r="E25" t="s">
        <v>47</v>
      </c>
    </row>
    <row r="26" spans="2:5" x14ac:dyDescent="0.3">
      <c r="B26" t="s">
        <v>18</v>
      </c>
      <c r="C26" t="s">
        <v>19</v>
      </c>
      <c r="D26" t="s">
        <v>21</v>
      </c>
      <c r="E26" t="s">
        <v>85</v>
      </c>
    </row>
    <row r="27" spans="2:5" x14ac:dyDescent="0.3">
      <c r="B27" t="s">
        <v>18</v>
      </c>
      <c r="C27" t="s">
        <v>19</v>
      </c>
      <c r="D27" t="s">
        <v>21</v>
      </c>
      <c r="E27" t="s">
        <v>87</v>
      </c>
    </row>
    <row r="28" spans="2:5" x14ac:dyDescent="0.3">
      <c r="B28" t="s">
        <v>18</v>
      </c>
      <c r="C28" t="s">
        <v>22</v>
      </c>
      <c r="D28" t="s">
        <v>90</v>
      </c>
      <c r="E28" t="s">
        <v>49</v>
      </c>
    </row>
    <row r="29" spans="2:5" x14ac:dyDescent="0.3">
      <c r="B29" t="s">
        <v>18</v>
      </c>
      <c r="C29" t="s">
        <v>22</v>
      </c>
      <c r="D29" t="s">
        <v>23</v>
      </c>
      <c r="E29" t="s">
        <v>89</v>
      </c>
    </row>
    <row r="30" spans="2:5" x14ac:dyDescent="0.3">
      <c r="B30" t="s">
        <v>18</v>
      </c>
      <c r="C30" t="s">
        <v>22</v>
      </c>
      <c r="D30" t="s">
        <v>23</v>
      </c>
      <c r="E30" t="s">
        <v>96</v>
      </c>
    </row>
    <row r="31" spans="2:5" x14ac:dyDescent="0.3">
      <c r="B31" t="s">
        <v>18</v>
      </c>
      <c r="C31" t="s">
        <v>22</v>
      </c>
      <c r="D31" t="s">
        <v>24</v>
      </c>
      <c r="E31" t="s">
        <v>51</v>
      </c>
    </row>
    <row r="32" spans="2:5" x14ac:dyDescent="0.3">
      <c r="B32" t="s">
        <v>18</v>
      </c>
      <c r="C32" t="s">
        <v>22</v>
      </c>
      <c r="D32" t="s">
        <v>24</v>
      </c>
      <c r="E32" t="s">
        <v>91</v>
      </c>
    </row>
    <row r="33" spans="2:5" x14ac:dyDescent="0.3">
      <c r="B33" t="s">
        <v>18</v>
      </c>
      <c r="C33" t="s">
        <v>22</v>
      </c>
      <c r="D33" t="s">
        <v>24</v>
      </c>
      <c r="E33" t="s">
        <v>92</v>
      </c>
    </row>
    <row r="34" spans="2:5" x14ac:dyDescent="0.3">
      <c r="B34" t="s">
        <v>18</v>
      </c>
      <c r="C34" t="s">
        <v>22</v>
      </c>
      <c r="D34" t="s">
        <v>24</v>
      </c>
      <c r="E34" t="s">
        <v>94</v>
      </c>
    </row>
    <row r="35" spans="2:5" x14ac:dyDescent="0.3">
      <c r="B35" t="s">
        <v>18</v>
      </c>
      <c r="C35" t="s">
        <v>22</v>
      </c>
      <c r="D35" t="s">
        <v>24</v>
      </c>
      <c r="E35" t="s">
        <v>53</v>
      </c>
    </row>
    <row r="36" spans="2:5" x14ac:dyDescent="0.3">
      <c r="B36" t="s">
        <v>18</v>
      </c>
      <c r="C36" t="s">
        <v>25</v>
      </c>
      <c r="D36" t="s">
        <v>26</v>
      </c>
      <c r="E36" t="s">
        <v>54</v>
      </c>
    </row>
    <row r="37" spans="2:5" x14ac:dyDescent="0.3">
      <c r="B37" t="s">
        <v>18</v>
      </c>
      <c r="C37" t="s">
        <v>25</v>
      </c>
      <c r="D37" t="s">
        <v>27</v>
      </c>
      <c r="E37" t="s">
        <v>55</v>
      </c>
    </row>
    <row r="38" spans="2:5" x14ac:dyDescent="0.3">
      <c r="B38" t="s">
        <v>18</v>
      </c>
      <c r="C38" t="s">
        <v>25</v>
      </c>
      <c r="D38" t="s">
        <v>27</v>
      </c>
      <c r="E38" t="s">
        <v>98</v>
      </c>
    </row>
    <row r="39" spans="2:5" x14ac:dyDescent="0.3">
      <c r="B39" t="s">
        <v>18</v>
      </c>
      <c r="C39" t="s">
        <v>25</v>
      </c>
      <c r="D39" t="s">
        <v>27</v>
      </c>
      <c r="E39" t="s">
        <v>57</v>
      </c>
    </row>
    <row r="40" spans="2:5" x14ac:dyDescent="0.3">
      <c r="B40" t="s">
        <v>18</v>
      </c>
      <c r="C40" t="s">
        <v>25</v>
      </c>
      <c r="D40" t="s">
        <v>27</v>
      </c>
      <c r="E40" t="s">
        <v>59</v>
      </c>
    </row>
    <row r="41" spans="2:5" x14ac:dyDescent="0.3">
      <c r="B41" t="s">
        <v>18</v>
      </c>
      <c r="C41" t="s">
        <v>25</v>
      </c>
      <c r="D41" t="s">
        <v>27</v>
      </c>
      <c r="E41" t="s">
        <v>73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6489E-7084-44C2-81B9-DD6A85AC2911}">
  <sheetPr codeName="Sheet2"/>
  <dimension ref="A1:M104"/>
  <sheetViews>
    <sheetView topLeftCell="A71" workbookViewId="0">
      <selection activeCell="L1" sqref="L1:M104"/>
    </sheetView>
  </sheetViews>
  <sheetFormatPr defaultRowHeight="16.5" x14ac:dyDescent="0.3"/>
  <cols>
    <col min="4" max="4" width="9.375" bestFit="1" customWidth="1"/>
    <col min="12" max="12" width="9.5" bestFit="1" customWidth="1"/>
  </cols>
  <sheetData>
    <row r="1" spans="1:13" x14ac:dyDescent="0.3">
      <c r="A1">
        <v>2022</v>
      </c>
      <c r="B1">
        <v>11</v>
      </c>
      <c r="C1">
        <v>23</v>
      </c>
      <c r="D1">
        <f>A1*10000+B1*100+C1</f>
        <v>20221123</v>
      </c>
      <c r="E1" s="2">
        <v>1</v>
      </c>
      <c r="H1">
        <v>1</v>
      </c>
      <c r="I1">
        <f>COUNTIF(E:E,H1)</f>
        <v>2</v>
      </c>
      <c r="L1">
        <v>20220623</v>
      </c>
      <c r="M1">
        <v>1</v>
      </c>
    </row>
    <row r="2" spans="1:13" x14ac:dyDescent="0.3">
      <c r="A2">
        <f>A1</f>
        <v>2022</v>
      </c>
      <c r="B2">
        <f>B1</f>
        <v>11</v>
      </c>
      <c r="C2">
        <v>24</v>
      </c>
      <c r="D2">
        <f t="shared" ref="D2:D8" si="0">A2*10000+B2*100+C2</f>
        <v>20221124</v>
      </c>
      <c r="E2" s="2">
        <v>1</v>
      </c>
      <c r="H2">
        <v>2</v>
      </c>
      <c r="I2">
        <f t="shared" ref="I2:I5" si="1">COUNTIF(E:E,H2)</f>
        <v>2</v>
      </c>
      <c r="L2">
        <v>20220624</v>
      </c>
      <c r="M2">
        <v>1</v>
      </c>
    </row>
    <row r="3" spans="1:13" x14ac:dyDescent="0.3">
      <c r="A3">
        <f t="shared" ref="A3:A8" si="2">A2</f>
        <v>2022</v>
      </c>
      <c r="B3">
        <f t="shared" ref="B3:B8" si="3">B2</f>
        <v>11</v>
      </c>
      <c r="C3">
        <v>25</v>
      </c>
      <c r="D3">
        <f t="shared" si="0"/>
        <v>20221125</v>
      </c>
      <c r="E3" s="2">
        <v>2</v>
      </c>
      <c r="H3">
        <v>3</v>
      </c>
      <c r="I3">
        <f t="shared" si="1"/>
        <v>1</v>
      </c>
      <c r="L3">
        <v>20220625</v>
      </c>
      <c r="M3">
        <v>2</v>
      </c>
    </row>
    <row r="4" spans="1:13" x14ac:dyDescent="0.3">
      <c r="A4">
        <f t="shared" si="2"/>
        <v>2022</v>
      </c>
      <c r="B4">
        <f t="shared" si="3"/>
        <v>11</v>
      </c>
      <c r="C4">
        <v>26</v>
      </c>
      <c r="D4">
        <f t="shared" si="0"/>
        <v>20221126</v>
      </c>
      <c r="E4" s="2">
        <v>2</v>
      </c>
      <c r="H4">
        <v>4</v>
      </c>
      <c r="I4">
        <f t="shared" si="1"/>
        <v>2</v>
      </c>
      <c r="L4">
        <v>20220626</v>
      </c>
      <c r="M4">
        <v>2</v>
      </c>
    </row>
    <row r="5" spans="1:13" x14ac:dyDescent="0.3">
      <c r="A5">
        <f t="shared" si="2"/>
        <v>2022</v>
      </c>
      <c r="B5">
        <f t="shared" si="3"/>
        <v>11</v>
      </c>
      <c r="C5">
        <v>27</v>
      </c>
      <c r="D5">
        <f t="shared" si="0"/>
        <v>20221127</v>
      </c>
      <c r="E5" s="2">
        <v>3</v>
      </c>
      <c r="H5">
        <v>5</v>
      </c>
      <c r="I5">
        <f t="shared" si="1"/>
        <v>1</v>
      </c>
      <c r="L5">
        <v>20220627</v>
      </c>
      <c r="M5">
        <v>3</v>
      </c>
    </row>
    <row r="6" spans="1:13" x14ac:dyDescent="0.3">
      <c r="A6">
        <f t="shared" si="2"/>
        <v>2022</v>
      </c>
      <c r="B6">
        <f t="shared" si="3"/>
        <v>11</v>
      </c>
      <c r="C6">
        <v>28</v>
      </c>
      <c r="D6">
        <f t="shared" si="0"/>
        <v>20221128</v>
      </c>
      <c r="E6" s="2">
        <v>4</v>
      </c>
      <c r="L6">
        <v>20220628</v>
      </c>
      <c r="M6">
        <v>4</v>
      </c>
    </row>
    <row r="7" spans="1:13" x14ac:dyDescent="0.3">
      <c r="A7">
        <f t="shared" si="2"/>
        <v>2022</v>
      </c>
      <c r="B7">
        <f t="shared" si="3"/>
        <v>11</v>
      </c>
      <c r="C7">
        <v>29</v>
      </c>
      <c r="D7">
        <f t="shared" si="0"/>
        <v>20221129</v>
      </c>
      <c r="E7" s="2">
        <v>4</v>
      </c>
      <c r="L7">
        <v>20220629</v>
      </c>
      <c r="M7">
        <v>4</v>
      </c>
    </row>
    <row r="8" spans="1:13" x14ac:dyDescent="0.3">
      <c r="A8">
        <f t="shared" si="2"/>
        <v>2022</v>
      </c>
      <c r="B8">
        <f t="shared" si="3"/>
        <v>11</v>
      </c>
      <c r="C8">
        <v>30</v>
      </c>
      <c r="D8">
        <f t="shared" si="0"/>
        <v>20221130</v>
      </c>
      <c r="E8" s="2">
        <v>5</v>
      </c>
      <c r="L8">
        <v>20220630</v>
      </c>
      <c r="M8">
        <v>5</v>
      </c>
    </row>
    <row r="9" spans="1:13" x14ac:dyDescent="0.3">
      <c r="E9" s="2"/>
      <c r="L9">
        <v>20220923</v>
      </c>
      <c r="M9">
        <v>1</v>
      </c>
    </row>
    <row r="10" spans="1:13" x14ac:dyDescent="0.3">
      <c r="E10" s="2"/>
      <c r="L10">
        <v>20220924</v>
      </c>
      <c r="M10">
        <v>1</v>
      </c>
    </row>
    <row r="11" spans="1:13" x14ac:dyDescent="0.3">
      <c r="E11" s="2"/>
      <c r="L11">
        <v>20220925</v>
      </c>
      <c r="M11">
        <v>2</v>
      </c>
    </row>
    <row r="12" spans="1:13" x14ac:dyDescent="0.3">
      <c r="E12" s="2"/>
      <c r="L12">
        <v>20220926</v>
      </c>
      <c r="M12">
        <v>2</v>
      </c>
    </row>
    <row r="13" spans="1:13" x14ac:dyDescent="0.3">
      <c r="E13" s="2"/>
      <c r="L13">
        <v>20220927</v>
      </c>
      <c r="M13">
        <v>3</v>
      </c>
    </row>
    <row r="14" spans="1:13" x14ac:dyDescent="0.3">
      <c r="E14" s="2"/>
      <c r="L14">
        <v>20220928</v>
      </c>
      <c r="M14">
        <v>4</v>
      </c>
    </row>
    <row r="15" spans="1:13" x14ac:dyDescent="0.3">
      <c r="E15" s="2"/>
      <c r="L15">
        <v>20220929</v>
      </c>
      <c r="M15">
        <v>4</v>
      </c>
    </row>
    <row r="16" spans="1:13" x14ac:dyDescent="0.3">
      <c r="E16" s="2"/>
      <c r="L16">
        <v>20220930</v>
      </c>
      <c r="M16">
        <v>5</v>
      </c>
    </row>
    <row r="17" spans="5:13" x14ac:dyDescent="0.3">
      <c r="E17" s="2"/>
      <c r="L17">
        <v>20221123</v>
      </c>
      <c r="M17">
        <v>1</v>
      </c>
    </row>
    <row r="18" spans="5:13" x14ac:dyDescent="0.3">
      <c r="E18" s="2"/>
      <c r="L18">
        <v>20221124</v>
      </c>
      <c r="M18">
        <v>1</v>
      </c>
    </row>
    <row r="19" spans="5:13" x14ac:dyDescent="0.3">
      <c r="E19" s="2"/>
      <c r="L19">
        <v>20221125</v>
      </c>
      <c r="M19">
        <v>2</v>
      </c>
    </row>
    <row r="20" spans="5:13" x14ac:dyDescent="0.3">
      <c r="E20" s="2"/>
      <c r="L20">
        <v>20221126</v>
      </c>
      <c r="M20">
        <v>2</v>
      </c>
    </row>
    <row r="21" spans="5:13" x14ac:dyDescent="0.3">
      <c r="E21" s="2"/>
      <c r="L21">
        <v>20221127</v>
      </c>
      <c r="M21">
        <v>3</v>
      </c>
    </row>
    <row r="22" spans="5:13" x14ac:dyDescent="0.3">
      <c r="E22" s="2"/>
      <c r="L22">
        <v>20221128</v>
      </c>
      <c r="M22">
        <v>4</v>
      </c>
    </row>
    <row r="23" spans="5:13" x14ac:dyDescent="0.3">
      <c r="E23" s="2"/>
      <c r="L23">
        <v>20221129</v>
      </c>
      <c r="M23">
        <v>4</v>
      </c>
    </row>
    <row r="24" spans="5:13" x14ac:dyDescent="0.3">
      <c r="E24" s="2"/>
      <c r="L24">
        <v>20221130</v>
      </c>
      <c r="M24">
        <v>5</v>
      </c>
    </row>
    <row r="25" spans="5:13" x14ac:dyDescent="0.3">
      <c r="E25" s="2"/>
      <c r="L25">
        <f>L1+10000</f>
        <v>20230623</v>
      </c>
      <c r="M25">
        <f>M1</f>
        <v>1</v>
      </c>
    </row>
    <row r="26" spans="5:13" x14ac:dyDescent="0.3">
      <c r="E26" s="2"/>
      <c r="L26">
        <f t="shared" ref="L26:L89" si="4">L2+10000</f>
        <v>20230624</v>
      </c>
      <c r="M26">
        <f t="shared" ref="M26:M89" si="5">M2</f>
        <v>1</v>
      </c>
    </row>
    <row r="27" spans="5:13" x14ac:dyDescent="0.3">
      <c r="E27" s="2"/>
      <c r="L27">
        <f t="shared" si="4"/>
        <v>20230625</v>
      </c>
      <c r="M27">
        <f t="shared" si="5"/>
        <v>2</v>
      </c>
    </row>
    <row r="28" spans="5:13" x14ac:dyDescent="0.3">
      <c r="E28" s="2"/>
      <c r="L28">
        <f t="shared" si="4"/>
        <v>20230626</v>
      </c>
      <c r="M28">
        <f t="shared" si="5"/>
        <v>2</v>
      </c>
    </row>
    <row r="29" spans="5:13" x14ac:dyDescent="0.3">
      <c r="E29" s="2"/>
      <c r="L29">
        <f t="shared" si="4"/>
        <v>20230627</v>
      </c>
      <c r="M29">
        <f t="shared" si="5"/>
        <v>3</v>
      </c>
    </row>
    <row r="30" spans="5:13" x14ac:dyDescent="0.3">
      <c r="E30" s="2"/>
      <c r="L30">
        <f t="shared" si="4"/>
        <v>20230628</v>
      </c>
      <c r="M30">
        <f t="shared" si="5"/>
        <v>4</v>
      </c>
    </row>
    <row r="31" spans="5:13" x14ac:dyDescent="0.3">
      <c r="E31" s="2"/>
      <c r="L31">
        <f t="shared" si="4"/>
        <v>20230629</v>
      </c>
      <c r="M31">
        <f t="shared" si="5"/>
        <v>4</v>
      </c>
    </row>
    <row r="32" spans="5:13" x14ac:dyDescent="0.3">
      <c r="E32" s="2"/>
      <c r="L32">
        <f t="shared" si="4"/>
        <v>20230630</v>
      </c>
      <c r="M32">
        <f t="shared" si="5"/>
        <v>5</v>
      </c>
    </row>
    <row r="33" spans="5:13" x14ac:dyDescent="0.3">
      <c r="E33" s="2"/>
      <c r="L33">
        <f t="shared" si="4"/>
        <v>20230923</v>
      </c>
      <c r="M33">
        <f t="shared" si="5"/>
        <v>1</v>
      </c>
    </row>
    <row r="34" spans="5:13" x14ac:dyDescent="0.3">
      <c r="E34" s="2"/>
      <c r="L34">
        <f t="shared" si="4"/>
        <v>20230924</v>
      </c>
      <c r="M34">
        <f t="shared" si="5"/>
        <v>1</v>
      </c>
    </row>
    <row r="35" spans="5:13" x14ac:dyDescent="0.3">
      <c r="E35" s="2"/>
      <c r="L35">
        <f t="shared" si="4"/>
        <v>20230925</v>
      </c>
      <c r="M35">
        <f t="shared" si="5"/>
        <v>2</v>
      </c>
    </row>
    <row r="36" spans="5:13" x14ac:dyDescent="0.3">
      <c r="E36" s="2"/>
      <c r="L36">
        <f t="shared" si="4"/>
        <v>20230926</v>
      </c>
      <c r="M36">
        <f t="shared" si="5"/>
        <v>2</v>
      </c>
    </row>
    <row r="37" spans="5:13" x14ac:dyDescent="0.3">
      <c r="E37" s="2"/>
      <c r="L37">
        <f t="shared" si="4"/>
        <v>20230927</v>
      </c>
      <c r="M37">
        <f t="shared" si="5"/>
        <v>3</v>
      </c>
    </row>
    <row r="38" spans="5:13" x14ac:dyDescent="0.3">
      <c r="E38" s="2"/>
      <c r="L38">
        <f t="shared" si="4"/>
        <v>20230928</v>
      </c>
      <c r="M38">
        <f t="shared" si="5"/>
        <v>4</v>
      </c>
    </row>
    <row r="39" spans="5:13" x14ac:dyDescent="0.3">
      <c r="E39" s="2"/>
      <c r="L39">
        <f t="shared" si="4"/>
        <v>20230929</v>
      </c>
      <c r="M39">
        <f t="shared" si="5"/>
        <v>4</v>
      </c>
    </row>
    <row r="40" spans="5:13" x14ac:dyDescent="0.3">
      <c r="E40" s="2"/>
      <c r="L40">
        <f t="shared" si="4"/>
        <v>20230930</v>
      </c>
      <c r="M40">
        <f t="shared" si="5"/>
        <v>5</v>
      </c>
    </row>
    <row r="41" spans="5:13" x14ac:dyDescent="0.3">
      <c r="E41" s="2"/>
      <c r="L41">
        <f t="shared" si="4"/>
        <v>20231123</v>
      </c>
      <c r="M41">
        <f t="shared" si="5"/>
        <v>1</v>
      </c>
    </row>
    <row r="42" spans="5:13" x14ac:dyDescent="0.3">
      <c r="E42" s="2"/>
      <c r="L42">
        <f t="shared" si="4"/>
        <v>20231124</v>
      </c>
      <c r="M42">
        <f t="shared" si="5"/>
        <v>1</v>
      </c>
    </row>
    <row r="43" spans="5:13" x14ac:dyDescent="0.3">
      <c r="E43" s="2"/>
      <c r="L43">
        <f t="shared" si="4"/>
        <v>20231125</v>
      </c>
      <c r="M43">
        <f t="shared" si="5"/>
        <v>2</v>
      </c>
    </row>
    <row r="44" spans="5:13" x14ac:dyDescent="0.3">
      <c r="E44" s="2"/>
      <c r="L44">
        <f t="shared" si="4"/>
        <v>20231126</v>
      </c>
      <c r="M44">
        <f t="shared" si="5"/>
        <v>2</v>
      </c>
    </row>
    <row r="45" spans="5:13" x14ac:dyDescent="0.3">
      <c r="E45" s="2"/>
      <c r="L45">
        <f t="shared" si="4"/>
        <v>20231127</v>
      </c>
      <c r="M45">
        <f t="shared" si="5"/>
        <v>3</v>
      </c>
    </row>
    <row r="46" spans="5:13" x14ac:dyDescent="0.3">
      <c r="E46" s="2"/>
      <c r="L46">
        <f t="shared" si="4"/>
        <v>20231128</v>
      </c>
      <c r="M46">
        <f t="shared" si="5"/>
        <v>4</v>
      </c>
    </row>
    <row r="47" spans="5:13" x14ac:dyDescent="0.3">
      <c r="E47" s="2"/>
      <c r="L47">
        <f t="shared" si="4"/>
        <v>20231129</v>
      </c>
      <c r="M47">
        <f t="shared" si="5"/>
        <v>4</v>
      </c>
    </row>
    <row r="48" spans="5:13" x14ac:dyDescent="0.3">
      <c r="E48" s="2"/>
      <c r="L48">
        <f t="shared" si="4"/>
        <v>20231130</v>
      </c>
      <c r="M48">
        <f t="shared" si="5"/>
        <v>5</v>
      </c>
    </row>
    <row r="49" spans="5:13" x14ac:dyDescent="0.3">
      <c r="E49" s="2"/>
      <c r="L49">
        <f t="shared" si="4"/>
        <v>20240623</v>
      </c>
      <c r="M49">
        <f t="shared" si="5"/>
        <v>1</v>
      </c>
    </row>
    <row r="50" spans="5:13" x14ac:dyDescent="0.3">
      <c r="E50" s="2"/>
      <c r="L50">
        <f t="shared" si="4"/>
        <v>20240624</v>
      </c>
      <c r="M50">
        <f t="shared" si="5"/>
        <v>1</v>
      </c>
    </row>
    <row r="51" spans="5:13" x14ac:dyDescent="0.3">
      <c r="E51" s="2"/>
      <c r="L51">
        <f t="shared" si="4"/>
        <v>20240625</v>
      </c>
      <c r="M51">
        <f t="shared" si="5"/>
        <v>2</v>
      </c>
    </row>
    <row r="52" spans="5:13" x14ac:dyDescent="0.3">
      <c r="E52" s="2"/>
      <c r="L52">
        <f t="shared" si="4"/>
        <v>20240626</v>
      </c>
      <c r="M52">
        <f t="shared" si="5"/>
        <v>2</v>
      </c>
    </row>
    <row r="53" spans="5:13" x14ac:dyDescent="0.3">
      <c r="E53" s="2"/>
      <c r="L53">
        <f t="shared" si="4"/>
        <v>20240627</v>
      </c>
      <c r="M53">
        <f t="shared" si="5"/>
        <v>3</v>
      </c>
    </row>
    <row r="54" spans="5:13" x14ac:dyDescent="0.3">
      <c r="E54" s="2"/>
      <c r="L54">
        <f t="shared" si="4"/>
        <v>20240628</v>
      </c>
      <c r="M54">
        <f t="shared" si="5"/>
        <v>4</v>
      </c>
    </row>
    <row r="55" spans="5:13" x14ac:dyDescent="0.3">
      <c r="E55" s="2"/>
      <c r="L55">
        <f t="shared" si="4"/>
        <v>20240629</v>
      </c>
      <c r="M55">
        <f t="shared" si="5"/>
        <v>4</v>
      </c>
    </row>
    <row r="56" spans="5:13" x14ac:dyDescent="0.3">
      <c r="E56" s="2"/>
      <c r="L56">
        <f t="shared" si="4"/>
        <v>20240630</v>
      </c>
      <c r="M56">
        <f t="shared" si="5"/>
        <v>5</v>
      </c>
    </row>
    <row r="57" spans="5:13" x14ac:dyDescent="0.3">
      <c r="E57" s="2"/>
      <c r="L57">
        <f t="shared" si="4"/>
        <v>20240923</v>
      </c>
      <c r="M57">
        <f t="shared" si="5"/>
        <v>1</v>
      </c>
    </row>
    <row r="58" spans="5:13" x14ac:dyDescent="0.3">
      <c r="E58" s="2"/>
      <c r="L58">
        <f t="shared" si="4"/>
        <v>20240924</v>
      </c>
      <c r="M58">
        <f t="shared" si="5"/>
        <v>1</v>
      </c>
    </row>
    <row r="59" spans="5:13" x14ac:dyDescent="0.3">
      <c r="E59" s="2"/>
      <c r="L59">
        <f t="shared" si="4"/>
        <v>20240925</v>
      </c>
      <c r="M59">
        <f t="shared" si="5"/>
        <v>2</v>
      </c>
    </row>
    <row r="60" spans="5:13" x14ac:dyDescent="0.3">
      <c r="E60" s="2"/>
      <c r="L60">
        <f t="shared" si="4"/>
        <v>20240926</v>
      </c>
      <c r="M60">
        <f t="shared" si="5"/>
        <v>2</v>
      </c>
    </row>
    <row r="61" spans="5:13" x14ac:dyDescent="0.3">
      <c r="E61" s="2"/>
      <c r="L61">
        <f t="shared" si="4"/>
        <v>20240927</v>
      </c>
      <c r="M61">
        <f t="shared" si="5"/>
        <v>3</v>
      </c>
    </row>
    <row r="62" spans="5:13" x14ac:dyDescent="0.3">
      <c r="E62" s="2"/>
      <c r="L62">
        <f t="shared" si="4"/>
        <v>20240928</v>
      </c>
      <c r="M62">
        <f t="shared" si="5"/>
        <v>4</v>
      </c>
    </row>
    <row r="63" spans="5:13" x14ac:dyDescent="0.3">
      <c r="E63" s="2"/>
      <c r="L63">
        <f t="shared" si="4"/>
        <v>20240929</v>
      </c>
      <c r="M63">
        <f t="shared" si="5"/>
        <v>4</v>
      </c>
    </row>
    <row r="64" spans="5:13" x14ac:dyDescent="0.3">
      <c r="E64" s="2"/>
      <c r="L64">
        <f t="shared" si="4"/>
        <v>20240930</v>
      </c>
      <c r="M64">
        <f t="shared" si="5"/>
        <v>5</v>
      </c>
    </row>
    <row r="65" spans="5:13" x14ac:dyDescent="0.3">
      <c r="E65" s="2"/>
      <c r="L65">
        <f t="shared" si="4"/>
        <v>20241123</v>
      </c>
      <c r="M65">
        <f t="shared" si="5"/>
        <v>1</v>
      </c>
    </row>
    <row r="66" spans="5:13" x14ac:dyDescent="0.3">
      <c r="E66" s="2"/>
      <c r="L66">
        <f t="shared" si="4"/>
        <v>20241124</v>
      </c>
      <c r="M66">
        <f t="shared" si="5"/>
        <v>1</v>
      </c>
    </row>
    <row r="67" spans="5:13" x14ac:dyDescent="0.3">
      <c r="L67">
        <f t="shared" si="4"/>
        <v>20241125</v>
      </c>
      <c r="M67">
        <f t="shared" si="5"/>
        <v>2</v>
      </c>
    </row>
    <row r="68" spans="5:13" x14ac:dyDescent="0.3">
      <c r="L68">
        <f t="shared" si="4"/>
        <v>20241126</v>
      </c>
      <c r="M68">
        <f t="shared" si="5"/>
        <v>2</v>
      </c>
    </row>
    <row r="69" spans="5:13" x14ac:dyDescent="0.3">
      <c r="L69">
        <f t="shared" si="4"/>
        <v>20241127</v>
      </c>
      <c r="M69">
        <f t="shared" si="5"/>
        <v>3</v>
      </c>
    </row>
    <row r="70" spans="5:13" x14ac:dyDescent="0.3">
      <c r="L70">
        <f t="shared" si="4"/>
        <v>20241128</v>
      </c>
      <c r="M70">
        <f t="shared" si="5"/>
        <v>4</v>
      </c>
    </row>
    <row r="71" spans="5:13" x14ac:dyDescent="0.3">
      <c r="L71">
        <f t="shared" si="4"/>
        <v>20241129</v>
      </c>
      <c r="M71">
        <f t="shared" si="5"/>
        <v>4</v>
      </c>
    </row>
    <row r="72" spans="5:13" x14ac:dyDescent="0.3">
      <c r="L72">
        <f t="shared" si="4"/>
        <v>20241130</v>
      </c>
      <c r="M72">
        <f t="shared" si="5"/>
        <v>5</v>
      </c>
    </row>
    <row r="73" spans="5:13" x14ac:dyDescent="0.3">
      <c r="L73">
        <f t="shared" si="4"/>
        <v>20250623</v>
      </c>
      <c r="M73">
        <f t="shared" si="5"/>
        <v>1</v>
      </c>
    </row>
    <row r="74" spans="5:13" x14ac:dyDescent="0.3">
      <c r="L74">
        <f t="shared" si="4"/>
        <v>20250624</v>
      </c>
      <c r="M74">
        <f t="shared" si="5"/>
        <v>1</v>
      </c>
    </row>
    <row r="75" spans="5:13" x14ac:dyDescent="0.3">
      <c r="L75">
        <f t="shared" si="4"/>
        <v>20250625</v>
      </c>
      <c r="M75">
        <f t="shared" si="5"/>
        <v>2</v>
      </c>
    </row>
    <row r="76" spans="5:13" x14ac:dyDescent="0.3">
      <c r="L76">
        <f t="shared" si="4"/>
        <v>20250626</v>
      </c>
      <c r="M76">
        <f t="shared" si="5"/>
        <v>2</v>
      </c>
    </row>
    <row r="77" spans="5:13" x14ac:dyDescent="0.3">
      <c r="L77">
        <f t="shared" si="4"/>
        <v>20250627</v>
      </c>
      <c r="M77">
        <f t="shared" si="5"/>
        <v>3</v>
      </c>
    </row>
    <row r="78" spans="5:13" x14ac:dyDescent="0.3">
      <c r="L78">
        <f t="shared" si="4"/>
        <v>20250628</v>
      </c>
      <c r="M78">
        <f t="shared" si="5"/>
        <v>4</v>
      </c>
    </row>
    <row r="79" spans="5:13" x14ac:dyDescent="0.3">
      <c r="L79">
        <f t="shared" si="4"/>
        <v>20250629</v>
      </c>
      <c r="M79">
        <f t="shared" si="5"/>
        <v>4</v>
      </c>
    </row>
    <row r="80" spans="5:13" x14ac:dyDescent="0.3">
      <c r="L80">
        <f t="shared" si="4"/>
        <v>20250630</v>
      </c>
      <c r="M80">
        <f t="shared" si="5"/>
        <v>5</v>
      </c>
    </row>
    <row r="81" spans="12:13" x14ac:dyDescent="0.3">
      <c r="L81">
        <f t="shared" si="4"/>
        <v>20250923</v>
      </c>
      <c r="M81">
        <f t="shared" si="5"/>
        <v>1</v>
      </c>
    </row>
    <row r="82" spans="12:13" x14ac:dyDescent="0.3">
      <c r="L82">
        <f t="shared" si="4"/>
        <v>20250924</v>
      </c>
      <c r="M82">
        <f t="shared" si="5"/>
        <v>1</v>
      </c>
    </row>
    <row r="83" spans="12:13" x14ac:dyDescent="0.3">
      <c r="L83">
        <f t="shared" si="4"/>
        <v>20250925</v>
      </c>
      <c r="M83">
        <f t="shared" si="5"/>
        <v>2</v>
      </c>
    </row>
    <row r="84" spans="12:13" x14ac:dyDescent="0.3">
      <c r="L84">
        <f t="shared" si="4"/>
        <v>20250926</v>
      </c>
      <c r="M84">
        <f t="shared" si="5"/>
        <v>2</v>
      </c>
    </row>
    <row r="85" spans="12:13" x14ac:dyDescent="0.3">
      <c r="L85">
        <f t="shared" si="4"/>
        <v>20250927</v>
      </c>
      <c r="M85">
        <f t="shared" si="5"/>
        <v>3</v>
      </c>
    </row>
    <row r="86" spans="12:13" x14ac:dyDescent="0.3">
      <c r="L86">
        <f t="shared" si="4"/>
        <v>20250928</v>
      </c>
      <c r="M86">
        <f t="shared" si="5"/>
        <v>4</v>
      </c>
    </row>
    <row r="87" spans="12:13" x14ac:dyDescent="0.3">
      <c r="L87">
        <f t="shared" si="4"/>
        <v>20250929</v>
      </c>
      <c r="M87">
        <f t="shared" si="5"/>
        <v>4</v>
      </c>
    </row>
    <row r="88" spans="12:13" x14ac:dyDescent="0.3">
      <c r="L88">
        <f t="shared" si="4"/>
        <v>20250930</v>
      </c>
      <c r="M88">
        <f t="shared" si="5"/>
        <v>5</v>
      </c>
    </row>
    <row r="89" spans="12:13" x14ac:dyDescent="0.3">
      <c r="L89">
        <f t="shared" si="4"/>
        <v>20251123</v>
      </c>
      <c r="M89">
        <f t="shared" si="5"/>
        <v>1</v>
      </c>
    </row>
    <row r="90" spans="12:13" x14ac:dyDescent="0.3">
      <c r="L90">
        <f t="shared" ref="L90:L104" si="6">L66+10000</f>
        <v>20251124</v>
      </c>
      <c r="M90">
        <f t="shared" ref="M90:M104" si="7">M66</f>
        <v>1</v>
      </c>
    </row>
    <row r="91" spans="12:13" x14ac:dyDescent="0.3">
      <c r="L91">
        <f t="shared" si="6"/>
        <v>20251125</v>
      </c>
      <c r="M91">
        <f t="shared" si="7"/>
        <v>2</v>
      </c>
    </row>
    <row r="92" spans="12:13" x14ac:dyDescent="0.3">
      <c r="L92">
        <f t="shared" si="6"/>
        <v>20251126</v>
      </c>
      <c r="M92">
        <f t="shared" si="7"/>
        <v>2</v>
      </c>
    </row>
    <row r="93" spans="12:13" x14ac:dyDescent="0.3">
      <c r="L93">
        <f t="shared" si="6"/>
        <v>20251127</v>
      </c>
      <c r="M93">
        <f t="shared" si="7"/>
        <v>3</v>
      </c>
    </row>
    <row r="94" spans="12:13" x14ac:dyDescent="0.3">
      <c r="L94">
        <f t="shared" si="6"/>
        <v>20251128</v>
      </c>
      <c r="M94">
        <f t="shared" si="7"/>
        <v>4</v>
      </c>
    </row>
    <row r="95" spans="12:13" x14ac:dyDescent="0.3">
      <c r="L95">
        <f t="shared" si="6"/>
        <v>20251129</v>
      </c>
      <c r="M95">
        <f t="shared" si="7"/>
        <v>4</v>
      </c>
    </row>
    <row r="96" spans="12:13" x14ac:dyDescent="0.3">
      <c r="L96">
        <f t="shared" si="6"/>
        <v>20251130</v>
      </c>
      <c r="M96">
        <f t="shared" si="7"/>
        <v>5</v>
      </c>
    </row>
    <row r="97" spans="12:13" x14ac:dyDescent="0.3">
      <c r="L97">
        <f t="shared" si="6"/>
        <v>20260623</v>
      </c>
      <c r="M97">
        <f t="shared" si="7"/>
        <v>1</v>
      </c>
    </row>
    <row r="98" spans="12:13" x14ac:dyDescent="0.3">
      <c r="L98">
        <f t="shared" si="6"/>
        <v>20260624</v>
      </c>
      <c r="M98">
        <f t="shared" si="7"/>
        <v>1</v>
      </c>
    </row>
    <row r="99" spans="12:13" x14ac:dyDescent="0.3">
      <c r="L99">
        <f t="shared" si="6"/>
        <v>20260625</v>
      </c>
      <c r="M99">
        <f t="shared" si="7"/>
        <v>2</v>
      </c>
    </row>
    <row r="100" spans="12:13" x14ac:dyDescent="0.3">
      <c r="L100">
        <f t="shared" si="6"/>
        <v>20260626</v>
      </c>
      <c r="M100">
        <f t="shared" si="7"/>
        <v>2</v>
      </c>
    </row>
    <row r="101" spans="12:13" x14ac:dyDescent="0.3">
      <c r="L101">
        <f t="shared" si="6"/>
        <v>20260627</v>
      </c>
      <c r="M101">
        <f t="shared" si="7"/>
        <v>3</v>
      </c>
    </row>
    <row r="102" spans="12:13" x14ac:dyDescent="0.3">
      <c r="L102">
        <f t="shared" si="6"/>
        <v>20260628</v>
      </c>
      <c r="M102">
        <f t="shared" si="7"/>
        <v>4</v>
      </c>
    </row>
    <row r="103" spans="12:13" x14ac:dyDescent="0.3">
      <c r="L103">
        <f t="shared" si="6"/>
        <v>20260629</v>
      </c>
      <c r="M103">
        <f t="shared" si="7"/>
        <v>4</v>
      </c>
    </row>
    <row r="104" spans="12:13" x14ac:dyDescent="0.3">
      <c r="L104">
        <f t="shared" si="6"/>
        <v>20260630</v>
      </c>
      <c r="M104">
        <f t="shared" si="7"/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Sheet1</vt:lpstr>
      <vt:lpstr>작업</vt:lpstr>
      <vt:lpstr>해설주소</vt:lpstr>
      <vt:lpstr>Sheet3</vt:lpstr>
      <vt:lpstr>Sheet5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주기헌</dc:creator>
  <cp:lastModifiedBy>주기헌</cp:lastModifiedBy>
  <dcterms:created xsi:type="dcterms:W3CDTF">2025-03-13T05:20:14Z</dcterms:created>
  <dcterms:modified xsi:type="dcterms:W3CDTF">2025-08-25T10:21:26Z</dcterms:modified>
</cp:coreProperties>
</file>